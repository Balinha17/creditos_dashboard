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0085760\Downloads\"/>
    </mc:Choice>
  </mc:AlternateContent>
  <xr:revisionPtr revIDLastSave="0" documentId="13_ncr:1_{FE7F3679-91B4-49E3-A21E-D2BF93B705A2}" xr6:coauthVersionLast="47" xr6:coauthVersionMax="47" xr10:uidLastSave="{00000000-0000-0000-0000-000000000000}"/>
  <bookViews>
    <workbookView xWindow="28680" yWindow="-120" windowWidth="29040" windowHeight="15720" xr2:uid="{B1431C60-598F-4F08-8A10-9BF296CBA4F5}"/>
  </bookViews>
  <sheets>
    <sheet name="Percentual abaixo de 85%" sheetId="1" r:id="rId1"/>
  </sheets>
  <definedNames>
    <definedName name="_xlnm._FilterDatabase" localSheetId="0" hidden="1">'Percentual abaixo de 85%'!$A$1:$S$163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8" i="1" l="1"/>
  <c r="N9" i="1"/>
  <c r="N10" i="1"/>
  <c r="N11" i="1"/>
  <c r="N12" i="1"/>
  <c r="N13" i="1"/>
  <c r="N20" i="1"/>
  <c r="N21" i="1"/>
  <c r="N22" i="1"/>
  <c r="N23" i="1"/>
  <c r="N24" i="1"/>
  <c r="N25" i="1"/>
  <c r="N32" i="1"/>
  <c r="N33" i="1"/>
  <c r="N34" i="1"/>
  <c r="N35" i="1"/>
  <c r="N36" i="1"/>
  <c r="N37" i="1"/>
  <c r="N44" i="1"/>
  <c r="N45" i="1"/>
  <c r="N46" i="1"/>
  <c r="N47" i="1"/>
  <c r="N48" i="1"/>
  <c r="N49" i="1"/>
  <c r="N56" i="1"/>
  <c r="N57" i="1"/>
  <c r="N58" i="1"/>
  <c r="N59" i="1"/>
  <c r="N60" i="1"/>
  <c r="N61" i="1"/>
  <c r="N68" i="1"/>
  <c r="N69" i="1"/>
  <c r="N70" i="1"/>
  <c r="N71" i="1"/>
  <c r="N72" i="1"/>
  <c r="N73" i="1"/>
  <c r="N80" i="1"/>
  <c r="N81" i="1"/>
  <c r="N82" i="1"/>
  <c r="N83" i="1"/>
  <c r="N84" i="1"/>
  <c r="N85" i="1"/>
  <c r="N92" i="1"/>
  <c r="N93" i="1"/>
  <c r="N94" i="1"/>
  <c r="N95" i="1"/>
  <c r="N96" i="1"/>
  <c r="N97" i="1"/>
  <c r="N104" i="1"/>
  <c r="N105" i="1"/>
  <c r="N106" i="1"/>
  <c r="N107" i="1"/>
  <c r="N108" i="1"/>
  <c r="N109" i="1"/>
  <c r="N116" i="1"/>
  <c r="N117" i="1"/>
  <c r="N118" i="1"/>
  <c r="N119" i="1"/>
  <c r="N120" i="1"/>
  <c r="N121" i="1"/>
  <c r="N128" i="1"/>
  <c r="N129" i="1"/>
  <c r="N130" i="1"/>
  <c r="N131" i="1"/>
  <c r="N132" i="1"/>
  <c r="N133" i="1"/>
  <c r="N140" i="1"/>
  <c r="N141" i="1"/>
  <c r="N142" i="1"/>
  <c r="N143" i="1"/>
  <c r="N144" i="1"/>
  <c r="N145" i="1"/>
  <c r="N152" i="1"/>
  <c r="N153" i="1"/>
  <c r="N154" i="1"/>
  <c r="N155" i="1"/>
  <c r="N156" i="1"/>
  <c r="N157" i="1"/>
  <c r="N2" i="1"/>
  <c r="L3" i="1"/>
  <c r="N3" i="1" s="1"/>
  <c r="L4" i="1"/>
  <c r="N4" i="1" s="1"/>
  <c r="L5" i="1"/>
  <c r="N5" i="1" s="1"/>
  <c r="L6" i="1"/>
  <c r="N6" i="1" s="1"/>
  <c r="L7" i="1"/>
  <c r="N7" i="1" s="1"/>
  <c r="L8" i="1"/>
  <c r="L9" i="1"/>
  <c r="L10" i="1"/>
  <c r="L11" i="1"/>
  <c r="L12" i="1"/>
  <c r="L13" i="1"/>
  <c r="L14" i="1"/>
  <c r="N14" i="1" s="1"/>
  <c r="L15" i="1"/>
  <c r="N15" i="1" s="1"/>
  <c r="L16" i="1"/>
  <c r="N16" i="1" s="1"/>
  <c r="L17" i="1"/>
  <c r="N17" i="1" s="1"/>
  <c r="L18" i="1"/>
  <c r="N18" i="1" s="1"/>
  <c r="L19" i="1"/>
  <c r="N19" i="1" s="1"/>
  <c r="L20" i="1"/>
  <c r="L21" i="1"/>
  <c r="L22" i="1"/>
  <c r="L23" i="1"/>
  <c r="L24" i="1"/>
  <c r="L25" i="1"/>
  <c r="L26" i="1"/>
  <c r="N26" i="1" s="1"/>
  <c r="L27" i="1"/>
  <c r="N27" i="1" s="1"/>
  <c r="L28" i="1"/>
  <c r="N28" i="1" s="1"/>
  <c r="L29" i="1"/>
  <c r="N29" i="1" s="1"/>
  <c r="L30" i="1"/>
  <c r="N30" i="1" s="1"/>
  <c r="L31" i="1"/>
  <c r="N31" i="1" s="1"/>
  <c r="L32" i="1"/>
  <c r="L33" i="1"/>
  <c r="L34" i="1"/>
  <c r="L35" i="1"/>
  <c r="L36" i="1"/>
  <c r="L37" i="1"/>
  <c r="L38" i="1"/>
  <c r="N38" i="1" s="1"/>
  <c r="L39" i="1"/>
  <c r="N39" i="1" s="1"/>
  <c r="L40" i="1"/>
  <c r="N40" i="1" s="1"/>
  <c r="L41" i="1"/>
  <c r="N41" i="1" s="1"/>
  <c r="L42" i="1"/>
  <c r="N42" i="1" s="1"/>
  <c r="L43" i="1"/>
  <c r="N43" i="1" s="1"/>
  <c r="L44" i="1"/>
  <c r="L45" i="1"/>
  <c r="L46" i="1"/>
  <c r="L47" i="1"/>
  <c r="L48" i="1"/>
  <c r="L49" i="1"/>
  <c r="L50" i="1"/>
  <c r="N50" i="1" s="1"/>
  <c r="L51" i="1"/>
  <c r="N51" i="1" s="1"/>
  <c r="L52" i="1"/>
  <c r="N52" i="1" s="1"/>
  <c r="L53" i="1"/>
  <c r="N53" i="1" s="1"/>
  <c r="L54" i="1"/>
  <c r="N54" i="1" s="1"/>
  <c r="L55" i="1"/>
  <c r="N55" i="1" s="1"/>
  <c r="L56" i="1"/>
  <c r="L57" i="1"/>
  <c r="L58" i="1"/>
  <c r="L59" i="1"/>
  <c r="L60" i="1"/>
  <c r="L61" i="1"/>
  <c r="L62" i="1"/>
  <c r="N62" i="1" s="1"/>
  <c r="L63" i="1"/>
  <c r="N63" i="1" s="1"/>
  <c r="L64" i="1"/>
  <c r="N64" i="1" s="1"/>
  <c r="L65" i="1"/>
  <c r="N65" i="1" s="1"/>
  <c r="L66" i="1"/>
  <c r="N66" i="1" s="1"/>
  <c r="L67" i="1"/>
  <c r="N67" i="1" s="1"/>
  <c r="L68" i="1"/>
  <c r="L69" i="1"/>
  <c r="L70" i="1"/>
  <c r="L71" i="1"/>
  <c r="L72" i="1"/>
  <c r="L73" i="1"/>
  <c r="L74" i="1"/>
  <c r="N74" i="1" s="1"/>
  <c r="L75" i="1"/>
  <c r="N75" i="1" s="1"/>
  <c r="L76" i="1"/>
  <c r="N76" i="1" s="1"/>
  <c r="L77" i="1"/>
  <c r="N77" i="1" s="1"/>
  <c r="L78" i="1"/>
  <c r="N78" i="1" s="1"/>
  <c r="L79" i="1"/>
  <c r="N79" i="1" s="1"/>
  <c r="L80" i="1"/>
  <c r="L81" i="1"/>
  <c r="L82" i="1"/>
  <c r="L83" i="1"/>
  <c r="L84" i="1"/>
  <c r="L85" i="1"/>
  <c r="L86" i="1"/>
  <c r="N86" i="1" s="1"/>
  <c r="L87" i="1"/>
  <c r="N87" i="1" s="1"/>
  <c r="L88" i="1"/>
  <c r="N88" i="1" s="1"/>
  <c r="L89" i="1"/>
  <c r="N89" i="1" s="1"/>
  <c r="L90" i="1"/>
  <c r="N90" i="1" s="1"/>
  <c r="L91" i="1"/>
  <c r="N91" i="1" s="1"/>
  <c r="L92" i="1"/>
  <c r="L93" i="1"/>
  <c r="L94" i="1"/>
  <c r="L95" i="1"/>
  <c r="L96" i="1"/>
  <c r="L97" i="1"/>
  <c r="L98" i="1"/>
  <c r="N98" i="1" s="1"/>
  <c r="L99" i="1"/>
  <c r="N99" i="1" s="1"/>
  <c r="L100" i="1"/>
  <c r="N100" i="1" s="1"/>
  <c r="L101" i="1"/>
  <c r="N101" i="1" s="1"/>
  <c r="L102" i="1"/>
  <c r="N102" i="1" s="1"/>
  <c r="L103" i="1"/>
  <c r="N103" i="1" s="1"/>
  <c r="L104" i="1"/>
  <c r="L105" i="1"/>
  <c r="L106" i="1"/>
  <c r="L107" i="1"/>
  <c r="L108" i="1"/>
  <c r="L109" i="1"/>
  <c r="L110" i="1"/>
  <c r="N110" i="1" s="1"/>
  <c r="L111" i="1"/>
  <c r="N111" i="1" s="1"/>
  <c r="L112" i="1"/>
  <c r="N112" i="1" s="1"/>
  <c r="L113" i="1"/>
  <c r="N113" i="1" s="1"/>
  <c r="L114" i="1"/>
  <c r="N114" i="1" s="1"/>
  <c r="L115" i="1"/>
  <c r="N115" i="1" s="1"/>
  <c r="L116" i="1"/>
  <c r="L117" i="1"/>
  <c r="L118" i="1"/>
  <c r="L119" i="1"/>
  <c r="L120" i="1"/>
  <c r="L121" i="1"/>
  <c r="L122" i="1"/>
  <c r="N122" i="1" s="1"/>
  <c r="L123" i="1"/>
  <c r="N123" i="1" s="1"/>
  <c r="L124" i="1"/>
  <c r="N124" i="1" s="1"/>
  <c r="L125" i="1"/>
  <c r="N125" i="1" s="1"/>
  <c r="L126" i="1"/>
  <c r="N126" i="1" s="1"/>
  <c r="L127" i="1"/>
  <c r="N127" i="1" s="1"/>
  <c r="L128" i="1"/>
  <c r="L129" i="1"/>
  <c r="L130" i="1"/>
  <c r="L131" i="1"/>
  <c r="L132" i="1"/>
  <c r="L133" i="1"/>
  <c r="L134" i="1"/>
  <c r="N134" i="1" s="1"/>
  <c r="L135" i="1"/>
  <c r="N135" i="1" s="1"/>
  <c r="L136" i="1"/>
  <c r="N136" i="1" s="1"/>
  <c r="L137" i="1"/>
  <c r="N137" i="1" s="1"/>
  <c r="L138" i="1"/>
  <c r="N138" i="1" s="1"/>
  <c r="L139" i="1"/>
  <c r="N139" i="1" s="1"/>
  <c r="L140" i="1"/>
  <c r="L141" i="1"/>
  <c r="L142" i="1"/>
  <c r="L143" i="1"/>
  <c r="L144" i="1"/>
  <c r="L145" i="1"/>
  <c r="L146" i="1"/>
  <c r="N146" i="1" s="1"/>
  <c r="L147" i="1"/>
  <c r="N147" i="1" s="1"/>
  <c r="L148" i="1"/>
  <c r="N148" i="1" s="1"/>
  <c r="L149" i="1"/>
  <c r="N149" i="1" s="1"/>
  <c r="L150" i="1"/>
  <c r="N150" i="1" s="1"/>
  <c r="L151" i="1"/>
  <c r="N151" i="1" s="1"/>
  <c r="L152" i="1"/>
  <c r="L153" i="1"/>
  <c r="L154" i="1"/>
  <c r="L155" i="1"/>
  <c r="L156" i="1"/>
  <c r="L157" i="1"/>
  <c r="L158" i="1"/>
  <c r="N158" i="1" s="1"/>
  <c r="L159" i="1"/>
  <c r="N159" i="1" s="1"/>
  <c r="L160" i="1"/>
  <c r="N160" i="1" s="1"/>
  <c r="L161" i="1"/>
  <c r="N161" i="1" s="1"/>
  <c r="L162" i="1"/>
  <c r="N162" i="1" s="1"/>
  <c r="L163" i="1"/>
  <c r="N163" i="1" s="1"/>
  <c r="L2" i="1"/>
</calcChain>
</file>

<file path=xl/sharedStrings.xml><?xml version="1.0" encoding="utf-8"?>
<sst xmlns="http://schemas.openxmlformats.org/spreadsheetml/2006/main" count="1516" uniqueCount="434">
  <si>
    <t>MATRICULA</t>
  </si>
  <si>
    <t>NOME</t>
  </si>
  <si>
    <t>CREDITO</t>
  </si>
  <si>
    <t>CDCURSO</t>
  </si>
  <si>
    <t>NOCURSO</t>
  </si>
  <si>
    <t>DT ASSINATURA</t>
  </si>
  <si>
    <t>DT LIMITE</t>
  </si>
  <si>
    <t xml:space="preserve">Semestre inicial Credito Educativo </t>
  </si>
  <si>
    <t xml:space="preserve">Semestre Atual Credito Educativo </t>
  </si>
  <si>
    <t>Semestres de Utilização em Nº</t>
  </si>
  <si>
    <t>Situação</t>
  </si>
  <si>
    <t>Percentual %</t>
  </si>
  <si>
    <t xml:space="preserve">PREVISÃO DE FORMATURA ANO/SEMESTRE </t>
  </si>
  <si>
    <t>Semestres restantes</t>
  </si>
  <si>
    <t>LUCAS LOPES MEDINA</t>
  </si>
  <si>
    <t>PROED</t>
  </si>
  <si>
    <t>PUBLICIDADE E PROPAGANDA - N.</t>
  </si>
  <si>
    <t>2021/1</t>
  </si>
  <si>
    <t>2026/1</t>
  </si>
  <si>
    <t>Prazo encerrando em 2026/1</t>
  </si>
  <si>
    <t>68.09%</t>
  </si>
  <si>
    <t>THAMIRES BICCA ORTIZ</t>
  </si>
  <si>
    <t>PUBLICIDADE E PROPAGANDA - M.</t>
  </si>
  <si>
    <t>2021/2</t>
  </si>
  <si>
    <t>MARIANA SUPERTI FREY</t>
  </si>
  <si>
    <t>GASTRONOMIA - MANHÃ</t>
  </si>
  <si>
    <t>2024/1</t>
  </si>
  <si>
    <t>70.09%</t>
  </si>
  <si>
    <t>BRENDA NUNES VIZZOTTO</t>
  </si>
  <si>
    <t>2022/2</t>
  </si>
  <si>
    <t>72.34%</t>
  </si>
  <si>
    <t>LEONARDO BORONSKI LA FALCE</t>
  </si>
  <si>
    <t>C.SUP.TEC.PROD.AUDIOVIS.</t>
  </si>
  <si>
    <t>72.5%</t>
  </si>
  <si>
    <t>MARCELLY FONTANA WEBER</t>
  </si>
  <si>
    <t>ESCRITA CRIATIVA</t>
  </si>
  <si>
    <t>73.62%</t>
  </si>
  <si>
    <t>NINA GIRELI FRANZOLOSO</t>
  </si>
  <si>
    <t>MARISTA</t>
  </si>
  <si>
    <t>IOANNIS LUCAS NICOU CANTEIRO</t>
  </si>
  <si>
    <t>98AH</t>
  </si>
  <si>
    <t>CIÊNC.DE DADOS E INTEL. ARTIFI</t>
  </si>
  <si>
    <t>76.47%</t>
  </si>
  <si>
    <t>VINÍCIUS PEREIRA COSTA MEDEIROS</t>
  </si>
  <si>
    <t>98AJ</t>
  </si>
  <si>
    <t>CIÊNCIA DA COMPUTAÇÃO</t>
  </si>
  <si>
    <t>76.64%</t>
  </si>
  <si>
    <t>CELSO JUNIOR SODRE CORREA</t>
  </si>
  <si>
    <t>ENGENHARIA DE SOFTWARE</t>
  </si>
  <si>
    <t>2020/1</t>
  </si>
  <si>
    <t>77.45%</t>
  </si>
  <si>
    <t>JULIA ANTUNES BREGALDA</t>
  </si>
  <si>
    <t>PSICOLOGIA - NOITE</t>
  </si>
  <si>
    <t>2020/2</t>
  </si>
  <si>
    <t>MARTIN DREYER NADRUZ</t>
  </si>
  <si>
    <t>JORNALISMO - MANHÃ</t>
  </si>
  <si>
    <t>2022/1</t>
  </si>
  <si>
    <t>80.39%</t>
  </si>
  <si>
    <t>MATEUS CAMPOS CAÇABUENA</t>
  </si>
  <si>
    <t>98AL</t>
  </si>
  <si>
    <t>82.24%</t>
  </si>
  <si>
    <t>FELIPE DA SILVA VOLPI</t>
  </si>
  <si>
    <t>82.25%</t>
  </si>
  <si>
    <t>RAQUEL SANDRI</t>
  </si>
  <si>
    <t>PSICOLOGIA - TARDE NOITE</t>
  </si>
  <si>
    <t>IGOR FETTER ZATAR</t>
  </si>
  <si>
    <t>DIREITO N</t>
  </si>
  <si>
    <t>2018/2</t>
  </si>
  <si>
    <t>82.7%</t>
  </si>
  <si>
    <t>GABRIELA CAVALHEIRO ABDALA</t>
  </si>
  <si>
    <t>2023/1</t>
  </si>
  <si>
    <t>83.14%</t>
  </si>
  <si>
    <t>FELIPE BARBOSA BROCH</t>
  </si>
  <si>
    <t>234D</t>
  </si>
  <si>
    <t>PUBLICIDADE E PROPAGANDA</t>
  </si>
  <si>
    <t>2016/1</t>
  </si>
  <si>
    <t>73.00%</t>
  </si>
  <si>
    <t>LAURA DERENJI PIAS REIMER</t>
  </si>
  <si>
    <t>73.98%</t>
  </si>
  <si>
    <t>MARIANA COSTA PEREIRA CZAMANSKI</t>
  </si>
  <si>
    <t>2023/2</t>
  </si>
  <si>
    <t>74.07%</t>
  </si>
  <si>
    <t>ARTHUR ARIEL SANTURIO DOS SANTOS</t>
  </si>
  <si>
    <t>67.29%</t>
  </si>
  <si>
    <t>2026/2</t>
  </si>
  <si>
    <t>RODRIGO DEL PINO RITTMANN</t>
  </si>
  <si>
    <t>NUTRIÇÃO</t>
  </si>
  <si>
    <t>VICENTE SILVA PASCHOAL</t>
  </si>
  <si>
    <t>CIÊNC. ECON.-LF FINANÇAS</t>
  </si>
  <si>
    <t>CAROLINA BRITO BROSE</t>
  </si>
  <si>
    <t>68.22%</t>
  </si>
  <si>
    <t>NOAMA FERNANDES CLEMONI</t>
  </si>
  <si>
    <t>68.72%</t>
  </si>
  <si>
    <t>LUCCA CANOZZI BITTENCOURT MARINHO</t>
  </si>
  <si>
    <t>69.48%</t>
  </si>
  <si>
    <t>EDUARDO HIDEHIKO ITO</t>
  </si>
  <si>
    <t>70.02%</t>
  </si>
  <si>
    <t>RAFAEL BRONDANI PRESTES</t>
  </si>
  <si>
    <t>ISRAEL GRAZIOLA GARCIA</t>
  </si>
  <si>
    <t>71.03%</t>
  </si>
  <si>
    <t>RAFAEL PEDRON BARROS</t>
  </si>
  <si>
    <t>2025/1</t>
  </si>
  <si>
    <t>71.25%</t>
  </si>
  <si>
    <t>NICOLAS PIETRO MOURA DA SILVA</t>
  </si>
  <si>
    <t>71.96%</t>
  </si>
  <si>
    <t>ARTUR FORTES NUNES</t>
  </si>
  <si>
    <t>CIÊNCIAS AERONÁUTICAS (B)</t>
  </si>
  <si>
    <t>2019/1</t>
  </si>
  <si>
    <t>72.68%</t>
  </si>
  <si>
    <t>LUIZA FEIJÓ PFLUCK</t>
  </si>
  <si>
    <t>ENFERMAGEM</t>
  </si>
  <si>
    <t>72.75%</t>
  </si>
  <si>
    <t>LUCCA GARAVELLO VOLPI</t>
  </si>
  <si>
    <t>72.94%</t>
  </si>
  <si>
    <t>JOÃO RAFAEL BORGES DE OLIVEIRA CAPOVILLA GUDDE</t>
  </si>
  <si>
    <t>255C</t>
  </si>
  <si>
    <t>ADM. - LF EM MARKETING</t>
  </si>
  <si>
    <t>73.5%</t>
  </si>
  <si>
    <t>PIETRA ANDARA</t>
  </si>
  <si>
    <t>LUCAS DE FRAGA SILVA</t>
  </si>
  <si>
    <t>73.83%</t>
  </si>
  <si>
    <t>GUILHERME PEIXOTO FOGAÇA</t>
  </si>
  <si>
    <t>ENG ELÉT-LF SIST DE ENEG ELÉT.</t>
  </si>
  <si>
    <t>73.96%</t>
  </si>
  <si>
    <t>MARCELO AUGUSTO FELISBERTO MARTINS</t>
  </si>
  <si>
    <t>75.7%</t>
  </si>
  <si>
    <t>CAIO CESAR JAEGER FILHO</t>
  </si>
  <si>
    <t>PSICOLOGIA - TARDE E NOITE</t>
  </si>
  <si>
    <t>75.75%</t>
  </si>
  <si>
    <t>THEOMO MARCOS DE OLIVEIRA AÇO</t>
  </si>
  <si>
    <t>75.94%</t>
  </si>
  <si>
    <t>GABRIEL LANIUS MACHADO</t>
  </si>
  <si>
    <t>98AZ</t>
  </si>
  <si>
    <t>CIÊNCIAS AERONÁUTICAS</t>
  </si>
  <si>
    <t>76.5%</t>
  </si>
  <si>
    <t>LUCCA IÃNEZ</t>
  </si>
  <si>
    <t>77.57%</t>
  </si>
  <si>
    <t>BRUNO MOSSMANN ALMEIDA</t>
  </si>
  <si>
    <t>78.5%</t>
  </si>
  <si>
    <t>THIAGO CANTARELLI GARCIA</t>
  </si>
  <si>
    <t>78.75%</t>
  </si>
  <si>
    <t>VITÓRIA ZANELLA SILVA</t>
  </si>
  <si>
    <t>PEDRO GRAZZIOTIM FERREIRA</t>
  </si>
  <si>
    <t>LUCAS LANGER LANTMANN</t>
  </si>
  <si>
    <t>79.44%</t>
  </si>
  <si>
    <t>CAROLINA PAZ MALLMANN</t>
  </si>
  <si>
    <t>DIREITO M</t>
  </si>
  <si>
    <t>79.73%</t>
  </si>
  <si>
    <t>MARIA EDUARDA CARRASCO DE ANDRADE</t>
  </si>
  <si>
    <t>DESIGN-LF EM DESIGN EM COMINIC</t>
  </si>
  <si>
    <t>80.2%</t>
  </si>
  <si>
    <t>JULIA DA ROSA LEITE</t>
  </si>
  <si>
    <t>80.25%</t>
  </si>
  <si>
    <t>HENRIQUE PINHO VALENTE SCHULTZ</t>
  </si>
  <si>
    <t>ARQUITETURA E URBANISMO</t>
  </si>
  <si>
    <t>2018/1</t>
  </si>
  <si>
    <t>80.37%</t>
  </si>
  <si>
    <t>CAMILA MARQUES LACERDA</t>
  </si>
  <si>
    <t>DESIGN.-LF EM DESIGN DE PRODUT</t>
  </si>
  <si>
    <t>81.3%</t>
  </si>
  <si>
    <t>DANILO IPE DE ANDRADE JUNIOR</t>
  </si>
  <si>
    <t>81.35%</t>
  </si>
  <si>
    <t>GABRIEL SILVEIRA</t>
  </si>
  <si>
    <t>82.11%</t>
  </si>
  <si>
    <t>OSMAR SADI NETHER FILHO</t>
  </si>
  <si>
    <t>82.5%</t>
  </si>
  <si>
    <t>HELLEN COUTINHO BARCELLOS DIEDERICHS</t>
  </si>
  <si>
    <t>FARMÁCIA</t>
  </si>
  <si>
    <t>82.84%</t>
  </si>
  <si>
    <t>VINICIUS MATOS AYRES E SILVA</t>
  </si>
  <si>
    <t>83.78%</t>
  </si>
  <si>
    <t>Laura Brito Stanieski</t>
  </si>
  <si>
    <t>BRUNO ECHER ROSSI</t>
  </si>
  <si>
    <t>255A</t>
  </si>
  <si>
    <t>ADM. LF ADM. DE EMPRESAS</t>
  </si>
  <si>
    <t>Ângelo Rodrigues de Fraga</t>
  </si>
  <si>
    <t>JORNALISMO - NOITE</t>
  </si>
  <si>
    <t>70.66%</t>
  </si>
  <si>
    <t>IGOR SERPA MARTINS</t>
  </si>
  <si>
    <t>77.47%</t>
  </si>
  <si>
    <t>BRUNO MAESTRI ABRIANOS BECKER</t>
  </si>
  <si>
    <t>CIÊNCIAS BIOLÓGICAS - L.</t>
  </si>
  <si>
    <t>83.44%</t>
  </si>
  <si>
    <t>ENRICO PHEULA SEMBLANO DA SILVA</t>
  </si>
  <si>
    <t>98AM</t>
  </si>
  <si>
    <t>SISTEMAS DE INFORMAÇÃO</t>
  </si>
  <si>
    <t>2027/1</t>
  </si>
  <si>
    <t>LUCCA BENETTI DA SILVA</t>
  </si>
  <si>
    <t>98AK</t>
  </si>
  <si>
    <t>ENGENHARIA DE COMPUTAÇÃO</t>
  </si>
  <si>
    <t>57.01%</t>
  </si>
  <si>
    <t>LEONARDO DONDONI DE SIQUEIRA</t>
  </si>
  <si>
    <t>57.94%</t>
  </si>
  <si>
    <t>GABRIEL REIS</t>
  </si>
  <si>
    <t>58.88%</t>
  </si>
  <si>
    <t>CAROLINA SIMOES PADILHA DE OLIVEIRA</t>
  </si>
  <si>
    <t>FISIOTERAPIA</t>
  </si>
  <si>
    <t>61.75%</t>
  </si>
  <si>
    <t>DIEGO AZEVEDO KLAFKE</t>
  </si>
  <si>
    <t>62.25%</t>
  </si>
  <si>
    <t>Luísa Wiskow Antunes</t>
  </si>
  <si>
    <t>BIOMEDICINA</t>
  </si>
  <si>
    <t>63.91%</t>
  </si>
  <si>
    <t>ANA CLARA VIEIRA DA ROCHA</t>
  </si>
  <si>
    <t>64.17%</t>
  </si>
  <si>
    <t>Marcos Vinícius Antiqueira Santos</t>
  </si>
  <si>
    <t>255B</t>
  </si>
  <si>
    <t>ADM.-LF EM LID. E GES. DE PESS</t>
  </si>
  <si>
    <t>FERNANDO SUZUKI</t>
  </si>
  <si>
    <t>65.69%</t>
  </si>
  <si>
    <t>RAFAEL VIANNA BORGES</t>
  </si>
  <si>
    <t>RELAÇÕES PÚBLICAS - NOITE</t>
  </si>
  <si>
    <t>66.45%</t>
  </si>
  <si>
    <t>ANNA CAROLINA LANGE KERKHOWE</t>
  </si>
  <si>
    <t>CIÊNCIAS BIOLÓGICAS - B.</t>
  </si>
  <si>
    <t>66.97%</t>
  </si>
  <si>
    <t>VALQUÍRIA VITÓRIA MOLINA MARTINELLI</t>
  </si>
  <si>
    <t>67.43%</t>
  </si>
  <si>
    <t>BRUNO PRIOTTO SOUZA</t>
  </si>
  <si>
    <t>98AX</t>
  </si>
  <si>
    <t>ENGENHARIA CIVIL</t>
  </si>
  <si>
    <t>68.87%</t>
  </si>
  <si>
    <t>RAFAELA SALGUEIRO SILVEIRA</t>
  </si>
  <si>
    <t>ODONTOLOGIA</t>
  </si>
  <si>
    <t>69.47%</t>
  </si>
  <si>
    <t>LUCAS RIQUELME FRANÇA PEREIRA</t>
  </si>
  <si>
    <t>69.95%</t>
  </si>
  <si>
    <t>PAULO RENATO FERREIRA CASA NOVA</t>
  </si>
  <si>
    <t>70.18%</t>
  </si>
  <si>
    <t>VINICIUS KOPLIN</t>
  </si>
  <si>
    <t>2017/1</t>
  </si>
  <si>
    <t>70.49%</t>
  </si>
  <si>
    <t>JOÃO VICTOR OLIVEIRA TERRA</t>
  </si>
  <si>
    <t>73.09%</t>
  </si>
  <si>
    <t>CARJAN SALERNO ROCHA</t>
  </si>
  <si>
    <t>74.18%</t>
  </si>
  <si>
    <t>ALYCIA PEREIRA DOS SANTOS</t>
  </si>
  <si>
    <t>74.32%</t>
  </si>
  <si>
    <t>HIAGO HENRIQUE MARTINS BELMIRO</t>
  </si>
  <si>
    <t>75.82%</t>
  </si>
  <si>
    <t>CARLOS EUGÊNIO MARSIAJ DE OLIVEIRA</t>
  </si>
  <si>
    <t>234C</t>
  </si>
  <si>
    <t>PUBLICIDADE DE PROPAGANDA</t>
  </si>
  <si>
    <t>76.27%</t>
  </si>
  <si>
    <t>RODRIGO JUVENCIO TOURINHO GIRARDI</t>
  </si>
  <si>
    <t>76.45%</t>
  </si>
  <si>
    <t>SOFIA PHEULA SEMBLANO DA SILVA</t>
  </si>
  <si>
    <t>76.49%</t>
  </si>
  <si>
    <t>CHRISTIAN ROMEIRO DOS SANTOS</t>
  </si>
  <si>
    <t>234A</t>
  </si>
  <si>
    <t>JORNALISMO</t>
  </si>
  <si>
    <t>77.5%</t>
  </si>
  <si>
    <t>EDUARDA GARCEZ DIAS</t>
  </si>
  <si>
    <t>77.89%</t>
  </si>
  <si>
    <t>JULIA UGOSKI DERLAM</t>
  </si>
  <si>
    <t>78.05%</t>
  </si>
  <si>
    <t>LUCAS SILVEIRA WOLSCHICK</t>
  </si>
  <si>
    <t>VITORYA COSTA PEDERIVA</t>
  </si>
  <si>
    <t>78.65%</t>
  </si>
  <si>
    <t>CAROLINA TAIN ACHE</t>
  </si>
  <si>
    <t>ENGENHARIA MECANICA</t>
  </si>
  <si>
    <t>2016/2</t>
  </si>
  <si>
    <t>78.8%</t>
  </si>
  <si>
    <t>LAURA NEUMANN BASLER</t>
  </si>
  <si>
    <t>CIÊNC. ECON.-LF ECONOMIA</t>
  </si>
  <si>
    <t>78.88%</t>
  </si>
  <si>
    <t>LUCIANA DE LIMA MARCHESAN</t>
  </si>
  <si>
    <t>80.7%</t>
  </si>
  <si>
    <t>SOFIA DE AZAMBUJA ZOCCHE</t>
  </si>
  <si>
    <t>82.51%</t>
  </si>
  <si>
    <t>RODRIGO CONTRI FERRETTI</t>
  </si>
  <si>
    <t>471A</t>
  </si>
  <si>
    <t>82.8%</t>
  </si>
  <si>
    <t>MARIA EDUARDA HESSELER KREUTZ</t>
  </si>
  <si>
    <t>82.97%</t>
  </si>
  <si>
    <t>MARCO ANTÔNIO RUPPENTHAL GUIMARÃES</t>
  </si>
  <si>
    <t>83.06%</t>
  </si>
  <si>
    <t>LUISA HELENA PEREIRA PONTELLO</t>
  </si>
  <si>
    <t>PEDAGOGIA</t>
  </si>
  <si>
    <t>70.94%</t>
  </si>
  <si>
    <t>GABRIELE SILVEIRA BORBA</t>
  </si>
  <si>
    <t>2027/2</t>
  </si>
  <si>
    <t>LEILA VERONEZI CAPPELLARI</t>
  </si>
  <si>
    <t>DAVI KOLODZEICZAK IASCULSKI</t>
  </si>
  <si>
    <t>LAURA MATOS CURCO LIMA</t>
  </si>
  <si>
    <t>47.25%</t>
  </si>
  <si>
    <t>VINICIUS FARIAS PINTO DA SILVA</t>
  </si>
  <si>
    <t>47.84%</t>
  </si>
  <si>
    <t>GABRIEL CAMARGO CAMARÃO</t>
  </si>
  <si>
    <t>48.14%</t>
  </si>
  <si>
    <t>RAFAELA REISDORFER SAUSEN</t>
  </si>
  <si>
    <t>FARMACIA</t>
  </si>
  <si>
    <t>48.51%</t>
  </si>
  <si>
    <t>EDUARDO MOREIRA BREGALDA</t>
  </si>
  <si>
    <t>RAFAEL NAKAMURA ALVES</t>
  </si>
  <si>
    <t>51.38%</t>
  </si>
  <si>
    <t>Vitor Gomes Scalco</t>
  </si>
  <si>
    <t>FILOSOFIA - B.</t>
  </si>
  <si>
    <t>51.4%</t>
  </si>
  <si>
    <t>EDUARDO SANTOS KORZENIESKI</t>
  </si>
  <si>
    <t>53.19%</t>
  </si>
  <si>
    <t>JOÃO PEDRO MICHEL VERNET DE BELTRAND</t>
  </si>
  <si>
    <t>ALICIA DA ROCHA PIRES</t>
  </si>
  <si>
    <t>RELAÇÕES INTERNACIONAIS</t>
  </si>
  <si>
    <t>55.56%</t>
  </si>
  <si>
    <t>HELENA BRANDAO PAYCORICH</t>
  </si>
  <si>
    <t>55.95%</t>
  </si>
  <si>
    <t>THAÍZA BITTENCOURT</t>
  </si>
  <si>
    <t>56.76%</t>
  </si>
  <si>
    <t>CAROLINA SILVEIRA DE OLIVEIRA DA SILVA</t>
  </si>
  <si>
    <t>PEDRO HENRIQUE FRAZÃO DA SILVA</t>
  </si>
  <si>
    <t>57.34%</t>
  </si>
  <si>
    <t>AMANDA DE MIRANDA DOS SANTOS</t>
  </si>
  <si>
    <t>57.57%</t>
  </si>
  <si>
    <t>OLIVIA KAZMIERCZAK TAVARES</t>
  </si>
  <si>
    <t>57.72%</t>
  </si>
  <si>
    <t>FABRINE DRESCHER MACHADO</t>
  </si>
  <si>
    <t>58.82%</t>
  </si>
  <si>
    <t>GABRIELA DELLAMORA PAIM</t>
  </si>
  <si>
    <t>MATEUS GARCIA</t>
  </si>
  <si>
    <t>ENG. DE CONTROLE E AUTOMACAO</t>
  </si>
  <si>
    <t>ADRIANO DILLE DO AMARAL</t>
  </si>
  <si>
    <t>152C</t>
  </si>
  <si>
    <t>HISTORIA - BACHARELADO - T</t>
  </si>
  <si>
    <t>59.26%</t>
  </si>
  <si>
    <t>JULLIA REZENDES FABRICIO DA SILVA</t>
  </si>
  <si>
    <t>59.5%</t>
  </si>
  <si>
    <t>EDUARDO POPOVICHE ANTONI</t>
  </si>
  <si>
    <t>61.62%</t>
  </si>
  <si>
    <t>VINÍCIUS SCHEFER SALMORIA</t>
  </si>
  <si>
    <t>61.68%</t>
  </si>
  <si>
    <t>AMANDA CAROLINA WILMSEN</t>
  </si>
  <si>
    <t>Artur Machado Graziola</t>
  </si>
  <si>
    <t>ADM. - LF INOV. E EMPREEND.</t>
  </si>
  <si>
    <t>63.5%</t>
  </si>
  <si>
    <t>BRUNO ROSA DUARTE</t>
  </si>
  <si>
    <t>64.49%</t>
  </si>
  <si>
    <t>BRUNO BECKER SILVA</t>
  </si>
  <si>
    <t>64.82%</t>
  </si>
  <si>
    <t>VICTÓRIA MACHADO STRUECKER</t>
  </si>
  <si>
    <t>67.02%</t>
  </si>
  <si>
    <t>LORENZO DA SILVA VIEIRA</t>
  </si>
  <si>
    <t>67.84%</t>
  </si>
  <si>
    <t>CLARA FAUTH SOARES</t>
  </si>
  <si>
    <t>69.19%</t>
  </si>
  <si>
    <t>CARLOS ALEXANDRE LINDMANN ALENCASTRO</t>
  </si>
  <si>
    <t>75.25%</t>
  </si>
  <si>
    <t>JULIANO DE ALMEIDA GNOATTO</t>
  </si>
  <si>
    <t>2028/1</t>
  </si>
  <si>
    <t>RUAN OLIVEIRA RIBEIRO DOS SANTOS</t>
  </si>
  <si>
    <t>38.32%</t>
  </si>
  <si>
    <t>TIAGO DE OLIVEIRA BUENO</t>
  </si>
  <si>
    <t>40.54%</t>
  </si>
  <si>
    <t>VITOR GOMES DE VENUTO</t>
  </si>
  <si>
    <t>40.72%</t>
  </si>
  <si>
    <t>JULIA CARVALHO GUEDES</t>
  </si>
  <si>
    <t>42.97%</t>
  </si>
  <si>
    <t>FLAVIO BONDER SCHARCANSKY</t>
  </si>
  <si>
    <t>44.04%</t>
  </si>
  <si>
    <t>HENRIQUE CENCI FELTRACO</t>
  </si>
  <si>
    <t>48.77%</t>
  </si>
  <si>
    <t>FELIPE ROSA FERREIRA</t>
  </si>
  <si>
    <t>49.53%</t>
  </si>
  <si>
    <t>MARCELO CRESPO CHRISTINI</t>
  </si>
  <si>
    <t>50.62%</t>
  </si>
  <si>
    <t>ANDRÉ KABBAS FRAGA</t>
  </si>
  <si>
    <t>51.75%</t>
  </si>
  <si>
    <t>Nicolly Borcelli Flores</t>
  </si>
  <si>
    <t>55.33%</t>
  </si>
  <si>
    <t>MATHEUS KLEINOWSKI PEREIRA DA CRUZ</t>
  </si>
  <si>
    <t>55.41%</t>
  </si>
  <si>
    <t>GUILHERME PEREIRA DE CASTRO</t>
  </si>
  <si>
    <t>EDUCAÇÃO FÍSICA - BAC. (M.)</t>
  </si>
  <si>
    <t>56.48%</t>
  </si>
  <si>
    <t>DOUGLAS CAVALHEIRO CARVALHO</t>
  </si>
  <si>
    <t>2015/2</t>
  </si>
  <si>
    <t>67.03%</t>
  </si>
  <si>
    <t>LUCA TEMES D'ANDREA</t>
  </si>
  <si>
    <t>28.97%</t>
  </si>
  <si>
    <t>2028/2</t>
  </si>
  <si>
    <t>GABRIEL CABRAL HIRT MOREIRA</t>
  </si>
  <si>
    <t>32.22%</t>
  </si>
  <si>
    <t>PEDRO HENRIQUE DE LIMA PERES</t>
  </si>
  <si>
    <t>34.83%</t>
  </si>
  <si>
    <t>IGNACIO PRADO CHAVES</t>
  </si>
  <si>
    <t>35.73%</t>
  </si>
  <si>
    <t>FELIPE CORCETE MAFFIOLETTI</t>
  </si>
  <si>
    <t>41.35%</t>
  </si>
  <si>
    <t>JOSÉ FRANCISCO KUNRATH VELLINHO PINTO</t>
  </si>
  <si>
    <t>49.13%</t>
  </si>
  <si>
    <t>ROBERTA DE BRITO LUDWIG</t>
  </si>
  <si>
    <t>52.98%</t>
  </si>
  <si>
    <t>VITOR TRAPP DE SOUZA</t>
  </si>
  <si>
    <t>25.14%</t>
  </si>
  <si>
    <t>2029/2</t>
  </si>
  <si>
    <t>LUCAS CAPELLARI DA SILVA</t>
  </si>
  <si>
    <t>20.7%</t>
  </si>
  <si>
    <t>2030/1</t>
  </si>
  <si>
    <t>LEONARDO CORDOVA FERNANDES</t>
  </si>
  <si>
    <t>21.89%</t>
  </si>
  <si>
    <t>FRANCIÉLI MARTINS DE OLIVEIRA</t>
  </si>
  <si>
    <t>PEDRO FERNANDO CARDOSO DA SILVA</t>
  </si>
  <si>
    <t>ENG ELÉTRICA -LF EM ELETRÔNICA</t>
  </si>
  <si>
    <t>30.23%</t>
  </si>
  <si>
    <t>WELLINGTON HENDLER BORGES</t>
  </si>
  <si>
    <t>12.15%</t>
  </si>
  <si>
    <t>2030/2</t>
  </si>
  <si>
    <t>Semestres Matriz Curricular</t>
  </si>
  <si>
    <t>Semestre com dilatação</t>
  </si>
  <si>
    <t>Saldo devedor</t>
  </si>
  <si>
    <t>Semestres utilizados pós dilatação</t>
  </si>
  <si>
    <t>Curso tratado</t>
  </si>
  <si>
    <t>ADMINISTRAÇÃO DE EMPRESAS</t>
  </si>
  <si>
    <t>ADMINISTRAÇÃO DE EMPRESAS - LF INOVAÇÃO E EMPREENDEDORISMO</t>
  </si>
  <si>
    <t>ADMINISTRAÇÃO DE EMPRESAS - LF MARKETING</t>
  </si>
  <si>
    <t>CIÊNCIA DE DADOS E INTELIGÊNCIA ARTIFICIAL</t>
  </si>
  <si>
    <t>CIÊNCIAS BIOLÓGICAS BACHARELADO</t>
  </si>
  <si>
    <t>CIÊNCIAS ECONÔMICAS - LF ECONOMIA</t>
  </si>
  <si>
    <t>CIÊNCIAS ECONÔMICAS - LF FINANÇAS</t>
  </si>
  <si>
    <t>DESIGN</t>
  </si>
  <si>
    <t>DIREITO</t>
  </si>
  <si>
    <t>EDUCAÇÃO FÍSICA BACHARELADO</t>
  </si>
  <si>
    <t>ENGENHARIA DE CONTROLE E AUTOMAÇÃO</t>
  </si>
  <si>
    <t>ENGENHARIA ELÉTRICA - LF EM ELETRÔNICA</t>
  </si>
  <si>
    <t>ENGENHARIA ELÉTRICA - LF SISTEMAS DE ENERGIA ELÉTRICA</t>
  </si>
  <si>
    <t>ENGENHARIA MECÂNICA</t>
  </si>
  <si>
    <t>HISTÓRIA BACHARELADO</t>
  </si>
  <si>
    <t>PRODUÇÃO AUDIOVISUAL</t>
  </si>
  <si>
    <t>PSICOLOGIA</t>
  </si>
  <si>
    <t>RELAÇÕES PÚBLICAS</t>
  </si>
  <si>
    <t>FILOSOFIA BACHARELADO</t>
  </si>
  <si>
    <t>ADMINISTRAÇÃO DE EMPRESAS - LF LIDERANÇA E GESTÃO DE PESSOAS</t>
  </si>
  <si>
    <t>GASTRONOMIA</t>
  </si>
  <si>
    <t>CIÊNCIAS BIOLÓGICAS LICENCIATURA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</si>
</sst>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5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0070C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64" fontId="3" fillId="2" borderId="0" xfId="0" applyNumberFormat="1" applyFont="1" applyFill="1" applyAlignment="1">
      <alignment horizontal="center"/>
    </xf>
    <xf numFmtId="164" fontId="3" fillId="2" borderId="0" xfId="0" applyNumberFormat="1" applyFont="1" applyFill="1" applyAlignment="1">
      <alignment horizontal="center" vertical="center"/>
    </xf>
    <xf numFmtId="164" fontId="0" fillId="0" borderId="0" xfId="0" applyNumberFormat="1"/>
    <xf numFmtId="10" fontId="1" fillId="2" borderId="1" xfId="0" applyNumberFormat="1" applyFont="1" applyFill="1" applyBorder="1" applyAlignment="1">
      <alignment horizontal="center" vertical="center"/>
    </xf>
    <xf numFmtId="10" fontId="3" fillId="2" borderId="0" xfId="0" applyNumberFormat="1" applyFont="1" applyFill="1" applyAlignment="1">
      <alignment horizontal="center"/>
    </xf>
    <xf numFmtId="10" fontId="3" fillId="2" borderId="0" xfId="0" applyNumberFormat="1" applyFont="1" applyFill="1" applyAlignment="1">
      <alignment horizontal="center" vertical="center"/>
    </xf>
    <xf numFmtId="10" fontId="0" fillId="0" borderId="0" xfId="0" applyNumberFormat="1"/>
    <xf numFmtId="16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2BF95-A570-473E-A409-C65BEDFFD947}">
  <dimension ref="A1:S163"/>
  <sheetViews>
    <sheetView tabSelected="1" topLeftCell="A163" zoomScale="160" zoomScaleNormal="160" workbookViewId="0">
      <pane xSplit="1" topLeftCell="B1" activePane="topRight" state="frozen"/>
      <selection pane="topRight" activeCell="F163" sqref="F163"/>
    </sheetView>
  </sheetViews>
  <sheetFormatPr defaultRowHeight="15" x14ac:dyDescent="0.25"/>
  <cols>
    <col min="1" max="1" width="11.5703125" bestFit="1" customWidth="1"/>
    <col min="2" max="2" width="49.7109375" bestFit="1" customWidth="1"/>
    <col min="3" max="3" width="9" bestFit="1" customWidth="1"/>
    <col min="4" max="4" width="9.5703125" bestFit="1" customWidth="1"/>
    <col min="5" max="5" width="32.5703125" bestFit="1" customWidth="1"/>
    <col min="6" max="6" width="32.5703125" customWidth="1"/>
    <col min="7" max="7" width="15.28515625" bestFit="1" customWidth="1"/>
    <col min="8" max="8" width="11.28515625" bestFit="1" customWidth="1"/>
    <col min="9" max="9" width="32.28515625" bestFit="1" customWidth="1"/>
    <col min="10" max="10" width="31.7109375" bestFit="1" customWidth="1"/>
    <col min="11" max="12" width="31.7109375" customWidth="1"/>
    <col min="13" max="13" width="28.85546875" bestFit="1" customWidth="1"/>
    <col min="14" max="14" width="32" bestFit="1" customWidth="1"/>
    <col min="15" max="15" width="26.5703125" bestFit="1" customWidth="1"/>
    <col min="16" max="16" width="12.5703125" style="15" bestFit="1" customWidth="1"/>
    <col min="17" max="17" width="13.85546875" style="11" bestFit="1" customWidth="1"/>
    <col min="18" max="18" width="40.42578125" bestFit="1" customWidth="1"/>
    <col min="19" max="19" width="19.285156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411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407</v>
      </c>
      <c r="L1" s="1" t="s">
        <v>408</v>
      </c>
      <c r="M1" s="1" t="s">
        <v>9</v>
      </c>
      <c r="N1" s="1" t="s">
        <v>410</v>
      </c>
      <c r="O1" s="1" t="s">
        <v>10</v>
      </c>
      <c r="P1" s="12" t="s">
        <v>11</v>
      </c>
      <c r="Q1" s="16" t="s">
        <v>409</v>
      </c>
      <c r="R1" s="7" t="s">
        <v>12</v>
      </c>
      <c r="S1" s="2" t="s">
        <v>13</v>
      </c>
    </row>
    <row r="2" spans="1:19" x14ac:dyDescent="0.25">
      <c r="A2" s="3">
        <v>21104306</v>
      </c>
      <c r="B2" s="3" t="s">
        <v>14</v>
      </c>
      <c r="C2" s="3" t="s">
        <v>15</v>
      </c>
      <c r="D2" s="3">
        <v>9705</v>
      </c>
      <c r="E2" s="3" t="s">
        <v>16</v>
      </c>
      <c r="F2" s="3" t="s">
        <v>74</v>
      </c>
      <c r="G2" s="4">
        <v>44267</v>
      </c>
      <c r="H2" s="4">
        <v>46178</v>
      </c>
      <c r="I2" s="3" t="s">
        <v>17</v>
      </c>
      <c r="J2" s="3" t="s">
        <v>18</v>
      </c>
      <c r="K2" s="3">
        <v>8</v>
      </c>
      <c r="L2" s="3">
        <f>K2+2</f>
        <v>10</v>
      </c>
      <c r="M2" s="3">
        <v>11</v>
      </c>
      <c r="N2" s="3">
        <f>L2-M2</f>
        <v>-1</v>
      </c>
      <c r="O2" s="3" t="s">
        <v>19</v>
      </c>
      <c r="P2" s="13" t="s">
        <v>20</v>
      </c>
      <c r="Q2" s="9">
        <v>124449.52</v>
      </c>
      <c r="R2" s="5" t="s">
        <v>18</v>
      </c>
      <c r="S2" s="3">
        <v>0</v>
      </c>
    </row>
    <row r="3" spans="1:19" x14ac:dyDescent="0.25">
      <c r="A3" s="3">
        <v>21200625</v>
      </c>
      <c r="B3" s="3" t="s">
        <v>21</v>
      </c>
      <c r="C3" s="3" t="s">
        <v>15</v>
      </c>
      <c r="D3" s="3">
        <v>9704</v>
      </c>
      <c r="E3" s="3" t="s">
        <v>22</v>
      </c>
      <c r="F3" s="3" t="s">
        <v>74</v>
      </c>
      <c r="G3" s="4">
        <v>44390</v>
      </c>
      <c r="H3" s="4">
        <v>46178</v>
      </c>
      <c r="I3" s="3" t="s">
        <v>23</v>
      </c>
      <c r="J3" s="3" t="s">
        <v>18</v>
      </c>
      <c r="K3" s="8">
        <v>8</v>
      </c>
      <c r="L3" s="3">
        <f t="shared" ref="L3:L66" si="0">K3+2</f>
        <v>10</v>
      </c>
      <c r="M3" s="3">
        <v>10</v>
      </c>
      <c r="N3" s="3">
        <f t="shared" ref="N3:N66" si="1">L3-M3</f>
        <v>0</v>
      </c>
      <c r="O3" s="3" t="s">
        <v>19</v>
      </c>
      <c r="P3" s="13" t="s">
        <v>20</v>
      </c>
      <c r="Q3" s="9">
        <v>101907.28</v>
      </c>
      <c r="R3" s="5" t="s">
        <v>18</v>
      </c>
      <c r="S3" s="3">
        <v>0</v>
      </c>
    </row>
    <row r="4" spans="1:19" x14ac:dyDescent="0.25">
      <c r="A4" s="3">
        <v>24107322</v>
      </c>
      <c r="B4" s="3" t="s">
        <v>24</v>
      </c>
      <c r="C4" s="3" t="s">
        <v>15</v>
      </c>
      <c r="D4" s="3">
        <v>9603</v>
      </c>
      <c r="E4" s="3" t="s">
        <v>25</v>
      </c>
      <c r="F4" s="3" t="s">
        <v>432</v>
      </c>
      <c r="G4" s="4">
        <v>45365</v>
      </c>
      <c r="H4" s="4">
        <v>46204</v>
      </c>
      <c r="I4" s="3" t="s">
        <v>26</v>
      </c>
      <c r="J4" s="3" t="s">
        <v>18</v>
      </c>
      <c r="K4" s="3">
        <v>5</v>
      </c>
      <c r="L4" s="3">
        <f t="shared" si="0"/>
        <v>7</v>
      </c>
      <c r="M4" s="3">
        <v>5</v>
      </c>
      <c r="N4" s="3">
        <f t="shared" si="1"/>
        <v>2</v>
      </c>
      <c r="O4" s="3" t="s">
        <v>19</v>
      </c>
      <c r="P4" s="13" t="s">
        <v>27</v>
      </c>
      <c r="Q4" s="9">
        <v>47889.88</v>
      </c>
      <c r="R4" s="5" t="s">
        <v>18</v>
      </c>
      <c r="S4" s="3">
        <v>0</v>
      </c>
    </row>
    <row r="5" spans="1:19" x14ac:dyDescent="0.25">
      <c r="A5" s="3">
        <v>22103503</v>
      </c>
      <c r="B5" s="3" t="s">
        <v>28</v>
      </c>
      <c r="C5" s="3" t="s">
        <v>15</v>
      </c>
      <c r="D5" s="3">
        <v>9705</v>
      </c>
      <c r="E5" s="3" t="s">
        <v>16</v>
      </c>
      <c r="F5" s="3" t="s">
        <v>74</v>
      </c>
      <c r="G5" s="4">
        <v>44775</v>
      </c>
      <c r="H5" s="4">
        <v>46023</v>
      </c>
      <c r="I5" s="3" t="s">
        <v>29</v>
      </c>
      <c r="J5" s="3" t="s">
        <v>18</v>
      </c>
      <c r="K5" s="3">
        <v>8</v>
      </c>
      <c r="L5" s="3">
        <f t="shared" si="0"/>
        <v>10</v>
      </c>
      <c r="M5" s="3">
        <v>8</v>
      </c>
      <c r="N5" s="3">
        <f t="shared" si="1"/>
        <v>2</v>
      </c>
      <c r="O5" s="3" t="s">
        <v>19</v>
      </c>
      <c r="P5" s="13" t="s">
        <v>30</v>
      </c>
      <c r="Q5" s="9">
        <v>83716.399999999994</v>
      </c>
      <c r="R5" s="5" t="s">
        <v>18</v>
      </c>
      <c r="S5" s="3">
        <v>0</v>
      </c>
    </row>
    <row r="6" spans="1:19" x14ac:dyDescent="0.25">
      <c r="A6" s="3">
        <v>24106677</v>
      </c>
      <c r="B6" s="3" t="s">
        <v>31</v>
      </c>
      <c r="C6" s="3" t="s">
        <v>15</v>
      </c>
      <c r="D6" s="3">
        <v>9710</v>
      </c>
      <c r="E6" s="3" t="s">
        <v>32</v>
      </c>
      <c r="F6" s="3" t="s">
        <v>427</v>
      </c>
      <c r="G6" s="4">
        <v>45316</v>
      </c>
      <c r="H6" s="4">
        <v>46204</v>
      </c>
      <c r="I6" s="3" t="s">
        <v>26</v>
      </c>
      <c r="J6" s="3" t="s">
        <v>18</v>
      </c>
      <c r="K6" s="3">
        <v>5</v>
      </c>
      <c r="L6" s="3">
        <f t="shared" si="0"/>
        <v>7</v>
      </c>
      <c r="M6" s="3">
        <v>5</v>
      </c>
      <c r="N6" s="3">
        <f t="shared" si="1"/>
        <v>2</v>
      </c>
      <c r="O6" s="3" t="s">
        <v>19</v>
      </c>
      <c r="P6" s="13" t="s">
        <v>33</v>
      </c>
      <c r="Q6" s="9">
        <v>44985.5</v>
      </c>
      <c r="R6" s="5" t="s">
        <v>18</v>
      </c>
      <c r="S6" s="3">
        <v>0</v>
      </c>
    </row>
    <row r="7" spans="1:19" x14ac:dyDescent="0.25">
      <c r="A7" s="3">
        <v>24104331</v>
      </c>
      <c r="B7" s="3" t="s">
        <v>34</v>
      </c>
      <c r="C7" s="3" t="s">
        <v>15</v>
      </c>
      <c r="D7" s="3">
        <v>9112</v>
      </c>
      <c r="E7" s="3" t="s">
        <v>35</v>
      </c>
      <c r="F7" s="3" t="s">
        <v>35</v>
      </c>
      <c r="G7" s="4">
        <v>45328</v>
      </c>
      <c r="H7" s="4">
        <v>46204</v>
      </c>
      <c r="I7" s="3" t="s">
        <v>26</v>
      </c>
      <c r="J7" s="3" t="s">
        <v>18</v>
      </c>
      <c r="K7" s="3">
        <v>5</v>
      </c>
      <c r="L7" s="3">
        <f t="shared" si="0"/>
        <v>7</v>
      </c>
      <c r="M7" s="3">
        <v>5</v>
      </c>
      <c r="N7" s="3">
        <f t="shared" si="1"/>
        <v>2</v>
      </c>
      <c r="O7" s="3" t="s">
        <v>19</v>
      </c>
      <c r="P7" s="13" t="s">
        <v>36</v>
      </c>
      <c r="Q7" s="9">
        <v>27872.49</v>
      </c>
      <c r="R7" s="5" t="s">
        <v>18</v>
      </c>
      <c r="S7" s="3">
        <v>0</v>
      </c>
    </row>
    <row r="8" spans="1:19" x14ac:dyDescent="0.25">
      <c r="A8" s="3">
        <v>24104663</v>
      </c>
      <c r="B8" s="3" t="s">
        <v>37</v>
      </c>
      <c r="C8" s="3" t="s">
        <v>38</v>
      </c>
      <c r="D8" s="3">
        <v>9112</v>
      </c>
      <c r="E8" s="3" t="s">
        <v>35</v>
      </c>
      <c r="F8" s="3" t="s">
        <v>35</v>
      </c>
      <c r="G8" s="4">
        <v>45282</v>
      </c>
      <c r="H8" s="4">
        <v>46204</v>
      </c>
      <c r="I8" s="3" t="s">
        <v>26</v>
      </c>
      <c r="J8" s="3" t="s">
        <v>18</v>
      </c>
      <c r="K8" s="3">
        <v>5</v>
      </c>
      <c r="L8" s="3">
        <f t="shared" si="0"/>
        <v>7</v>
      </c>
      <c r="M8" s="3">
        <v>5</v>
      </c>
      <c r="N8" s="3">
        <f t="shared" si="1"/>
        <v>2</v>
      </c>
      <c r="O8" s="3" t="s">
        <v>19</v>
      </c>
      <c r="P8" s="13" t="s">
        <v>36</v>
      </c>
      <c r="Q8" s="9">
        <v>34699</v>
      </c>
      <c r="R8" s="5" t="s">
        <v>18</v>
      </c>
      <c r="S8" s="3">
        <v>0</v>
      </c>
    </row>
    <row r="9" spans="1:19" x14ac:dyDescent="0.25">
      <c r="A9" s="3">
        <v>21100720</v>
      </c>
      <c r="B9" s="3" t="s">
        <v>39</v>
      </c>
      <c r="C9" s="3" t="s">
        <v>15</v>
      </c>
      <c r="D9" s="3" t="s">
        <v>40</v>
      </c>
      <c r="E9" s="3" t="s">
        <v>41</v>
      </c>
      <c r="F9" s="3" t="s">
        <v>415</v>
      </c>
      <c r="G9" s="4">
        <v>44245</v>
      </c>
      <c r="H9" s="4">
        <v>46178</v>
      </c>
      <c r="I9" s="3" t="s">
        <v>17</v>
      </c>
      <c r="J9" s="3" t="s">
        <v>18</v>
      </c>
      <c r="K9" s="3">
        <v>8</v>
      </c>
      <c r="L9" s="3">
        <f t="shared" si="0"/>
        <v>10</v>
      </c>
      <c r="M9" s="3">
        <v>11</v>
      </c>
      <c r="N9" s="3">
        <f t="shared" si="1"/>
        <v>-1</v>
      </c>
      <c r="O9" s="3" t="s">
        <v>19</v>
      </c>
      <c r="P9" s="13" t="s">
        <v>42</v>
      </c>
      <c r="Q9" s="9">
        <v>124774.02</v>
      </c>
      <c r="R9" s="5" t="s">
        <v>18</v>
      </c>
      <c r="S9" s="3">
        <v>0</v>
      </c>
    </row>
    <row r="10" spans="1:19" x14ac:dyDescent="0.25">
      <c r="A10" s="3">
        <v>22200723</v>
      </c>
      <c r="B10" s="3" t="s">
        <v>43</v>
      </c>
      <c r="C10" s="3" t="s">
        <v>15</v>
      </c>
      <c r="D10" s="3" t="s">
        <v>44</v>
      </c>
      <c r="E10" s="3" t="s">
        <v>45</v>
      </c>
      <c r="F10" s="3" t="s">
        <v>45</v>
      </c>
      <c r="G10" s="4">
        <v>44755</v>
      </c>
      <c r="H10" s="4">
        <v>46204</v>
      </c>
      <c r="I10" s="3" t="s">
        <v>29</v>
      </c>
      <c r="J10" s="3" t="s">
        <v>18</v>
      </c>
      <c r="K10" s="3">
        <v>8</v>
      </c>
      <c r="L10" s="3">
        <f t="shared" si="0"/>
        <v>10</v>
      </c>
      <c r="M10" s="3">
        <v>8</v>
      </c>
      <c r="N10" s="3">
        <f t="shared" si="1"/>
        <v>2</v>
      </c>
      <c r="O10" s="3" t="s">
        <v>19</v>
      </c>
      <c r="P10" s="13" t="s">
        <v>46</v>
      </c>
      <c r="Q10" s="9">
        <v>99322.559999999998</v>
      </c>
      <c r="R10" s="5" t="s">
        <v>18</v>
      </c>
      <c r="S10" s="3">
        <v>0</v>
      </c>
    </row>
    <row r="11" spans="1:19" x14ac:dyDescent="0.25">
      <c r="A11" s="3">
        <v>20102642</v>
      </c>
      <c r="B11" s="3" t="s">
        <v>47</v>
      </c>
      <c r="C11" s="3" t="s">
        <v>15</v>
      </c>
      <c r="D11" s="3">
        <v>4630</v>
      </c>
      <c r="E11" s="3" t="s">
        <v>48</v>
      </c>
      <c r="F11" s="3" t="s">
        <v>48</v>
      </c>
      <c r="G11" s="4">
        <v>43896</v>
      </c>
      <c r="H11" s="4">
        <v>46178</v>
      </c>
      <c r="I11" s="3" t="s">
        <v>49</v>
      </c>
      <c r="J11" s="3" t="s">
        <v>18</v>
      </c>
      <c r="K11" s="3">
        <v>8</v>
      </c>
      <c r="L11" s="3">
        <f t="shared" si="0"/>
        <v>10</v>
      </c>
      <c r="M11" s="3">
        <v>13</v>
      </c>
      <c r="N11" s="3">
        <f t="shared" si="1"/>
        <v>-3</v>
      </c>
      <c r="O11" s="3" t="s">
        <v>19</v>
      </c>
      <c r="P11" s="13" t="s">
        <v>50</v>
      </c>
      <c r="Q11" s="9">
        <v>114252.96</v>
      </c>
      <c r="R11" s="5" t="s">
        <v>18</v>
      </c>
      <c r="S11" s="3">
        <v>0</v>
      </c>
    </row>
    <row r="12" spans="1:19" x14ac:dyDescent="0.25">
      <c r="A12" s="3">
        <v>20200312</v>
      </c>
      <c r="B12" s="3" t="s">
        <v>51</v>
      </c>
      <c r="C12" s="3" t="s">
        <v>15</v>
      </c>
      <c r="D12" s="3">
        <v>1310</v>
      </c>
      <c r="E12" s="3" t="s">
        <v>52</v>
      </c>
      <c r="F12" s="3" t="s">
        <v>428</v>
      </c>
      <c r="G12" s="4">
        <v>44105</v>
      </c>
      <c r="H12" s="4">
        <v>46178</v>
      </c>
      <c r="I12" s="3" t="s">
        <v>53</v>
      </c>
      <c r="J12" s="3" t="s">
        <v>18</v>
      </c>
      <c r="K12" s="3">
        <v>10</v>
      </c>
      <c r="L12" s="3">
        <f t="shared" si="0"/>
        <v>12</v>
      </c>
      <c r="M12" s="3">
        <v>12</v>
      </c>
      <c r="N12" s="3">
        <f t="shared" si="1"/>
        <v>0</v>
      </c>
      <c r="O12" s="3" t="s">
        <v>19</v>
      </c>
      <c r="P12" s="13">
        <v>0.8</v>
      </c>
      <c r="Q12" s="9">
        <v>105256.97</v>
      </c>
      <c r="R12" s="5" t="s">
        <v>18</v>
      </c>
      <c r="S12" s="3">
        <v>0</v>
      </c>
    </row>
    <row r="13" spans="1:19" x14ac:dyDescent="0.25">
      <c r="A13" s="3">
        <v>22105157</v>
      </c>
      <c r="B13" s="3" t="s">
        <v>54</v>
      </c>
      <c r="C13" s="3" t="s">
        <v>38</v>
      </c>
      <c r="D13" s="3">
        <v>9701</v>
      </c>
      <c r="E13" s="3" t="s">
        <v>55</v>
      </c>
      <c r="F13" s="3" t="s">
        <v>250</v>
      </c>
      <c r="G13" s="4">
        <v>44567</v>
      </c>
      <c r="H13" s="4">
        <v>46028</v>
      </c>
      <c r="I13" s="3" t="s">
        <v>56</v>
      </c>
      <c r="J13" s="3" t="s">
        <v>18</v>
      </c>
      <c r="K13" s="3">
        <v>8</v>
      </c>
      <c r="L13" s="3">
        <f t="shared" si="0"/>
        <v>10</v>
      </c>
      <c r="M13" s="3">
        <v>9</v>
      </c>
      <c r="N13" s="3">
        <f t="shared" si="1"/>
        <v>1</v>
      </c>
      <c r="O13" s="3" t="s">
        <v>19</v>
      </c>
      <c r="P13" s="13" t="s">
        <v>57</v>
      </c>
      <c r="Q13" s="9">
        <v>112766.07</v>
      </c>
      <c r="R13" s="5" t="s">
        <v>18</v>
      </c>
      <c r="S13" s="3">
        <v>0</v>
      </c>
    </row>
    <row r="14" spans="1:19" x14ac:dyDescent="0.25">
      <c r="A14" s="3">
        <v>22105173</v>
      </c>
      <c r="B14" s="3" t="s">
        <v>58</v>
      </c>
      <c r="C14" s="3" t="s">
        <v>15</v>
      </c>
      <c r="D14" s="3" t="s">
        <v>59</v>
      </c>
      <c r="E14" s="3" t="s">
        <v>48</v>
      </c>
      <c r="F14" s="3" t="s">
        <v>48</v>
      </c>
      <c r="G14" s="4">
        <v>44778</v>
      </c>
      <c r="H14" s="4">
        <v>46023</v>
      </c>
      <c r="I14" s="3" t="s">
        <v>29</v>
      </c>
      <c r="J14" s="3" t="s">
        <v>18</v>
      </c>
      <c r="K14" s="3">
        <v>8</v>
      </c>
      <c r="L14" s="3">
        <f t="shared" si="0"/>
        <v>10</v>
      </c>
      <c r="M14" s="3">
        <v>8</v>
      </c>
      <c r="N14" s="3">
        <f t="shared" si="1"/>
        <v>2</v>
      </c>
      <c r="O14" s="3" t="s">
        <v>19</v>
      </c>
      <c r="P14" s="13" t="s">
        <v>60</v>
      </c>
      <c r="Q14" s="9">
        <v>83477.52</v>
      </c>
      <c r="R14" s="5" t="s">
        <v>18</v>
      </c>
      <c r="S14" s="3">
        <v>0</v>
      </c>
    </row>
    <row r="15" spans="1:19" x14ac:dyDescent="0.25">
      <c r="A15" s="3">
        <v>21110414</v>
      </c>
      <c r="B15" s="3" t="s">
        <v>61</v>
      </c>
      <c r="C15" s="3" t="s">
        <v>15</v>
      </c>
      <c r="D15" s="3">
        <v>9611</v>
      </c>
      <c r="E15" s="3" t="s">
        <v>52</v>
      </c>
      <c r="F15" s="3" t="s">
        <v>428</v>
      </c>
      <c r="G15" s="4">
        <v>44256</v>
      </c>
      <c r="H15" s="4">
        <v>46082</v>
      </c>
      <c r="I15" s="3" t="s">
        <v>17</v>
      </c>
      <c r="J15" s="3" t="s">
        <v>18</v>
      </c>
      <c r="K15" s="3">
        <v>10</v>
      </c>
      <c r="L15" s="3">
        <f t="shared" si="0"/>
        <v>12</v>
      </c>
      <c r="M15" s="3">
        <v>11</v>
      </c>
      <c r="N15" s="3">
        <f t="shared" si="1"/>
        <v>1</v>
      </c>
      <c r="O15" s="3" t="s">
        <v>19</v>
      </c>
      <c r="P15" s="13" t="s">
        <v>62</v>
      </c>
      <c r="Q15" s="9">
        <v>125583.97</v>
      </c>
      <c r="R15" s="5" t="s">
        <v>18</v>
      </c>
      <c r="S15" s="3">
        <v>0</v>
      </c>
    </row>
    <row r="16" spans="1:19" x14ac:dyDescent="0.25">
      <c r="A16" s="3">
        <v>21104624</v>
      </c>
      <c r="B16" s="3" t="s">
        <v>63</v>
      </c>
      <c r="C16" s="3" t="s">
        <v>15</v>
      </c>
      <c r="D16" s="3">
        <v>9612</v>
      </c>
      <c r="E16" s="3" t="s">
        <v>64</v>
      </c>
      <c r="F16" s="3" t="s">
        <v>428</v>
      </c>
      <c r="G16" s="4">
        <v>44454</v>
      </c>
      <c r="H16" s="4">
        <v>46096</v>
      </c>
      <c r="I16" s="3" t="s">
        <v>23</v>
      </c>
      <c r="J16" s="3" t="s">
        <v>18</v>
      </c>
      <c r="K16" s="3">
        <v>10</v>
      </c>
      <c r="L16" s="3">
        <f t="shared" si="0"/>
        <v>12</v>
      </c>
      <c r="M16" s="3">
        <v>10</v>
      </c>
      <c r="N16" s="3">
        <f t="shared" si="1"/>
        <v>2</v>
      </c>
      <c r="O16" s="3" t="s">
        <v>19</v>
      </c>
      <c r="P16" s="13" t="s">
        <v>62</v>
      </c>
      <c r="Q16" s="9">
        <v>105670.75</v>
      </c>
      <c r="R16" s="5" t="s">
        <v>18</v>
      </c>
      <c r="S16" s="3">
        <v>0</v>
      </c>
    </row>
    <row r="17" spans="1:19" x14ac:dyDescent="0.25">
      <c r="A17" s="3">
        <v>17101523</v>
      </c>
      <c r="B17" s="3" t="s">
        <v>65</v>
      </c>
      <c r="C17" s="3" t="s">
        <v>15</v>
      </c>
      <c r="D17" s="3">
        <v>2415</v>
      </c>
      <c r="E17" s="3" t="s">
        <v>66</v>
      </c>
      <c r="F17" s="3" t="s">
        <v>420</v>
      </c>
      <c r="G17" s="4">
        <v>43420</v>
      </c>
      <c r="H17" s="4">
        <v>46178</v>
      </c>
      <c r="I17" s="3" t="s">
        <v>67</v>
      </c>
      <c r="J17" s="3" t="s">
        <v>18</v>
      </c>
      <c r="K17" s="3">
        <v>10</v>
      </c>
      <c r="L17" s="3">
        <f t="shared" si="0"/>
        <v>12</v>
      </c>
      <c r="M17" s="3">
        <v>16</v>
      </c>
      <c r="N17" s="3">
        <f t="shared" si="1"/>
        <v>-4</v>
      </c>
      <c r="O17" s="3" t="s">
        <v>19</v>
      </c>
      <c r="P17" s="13" t="s">
        <v>68</v>
      </c>
      <c r="Q17" s="9">
        <v>147673.71</v>
      </c>
      <c r="R17" s="5" t="s">
        <v>18</v>
      </c>
      <c r="S17" s="3">
        <v>0</v>
      </c>
    </row>
    <row r="18" spans="1:19" x14ac:dyDescent="0.25">
      <c r="A18" s="3">
        <v>22107486</v>
      </c>
      <c r="B18" s="3" t="s">
        <v>69</v>
      </c>
      <c r="C18" s="3" t="s">
        <v>15</v>
      </c>
      <c r="D18" s="3">
        <v>9705</v>
      </c>
      <c r="E18" s="3" t="s">
        <v>16</v>
      </c>
      <c r="F18" s="3" t="s">
        <v>74</v>
      </c>
      <c r="G18" s="4">
        <v>44973</v>
      </c>
      <c r="H18" s="4">
        <v>46023</v>
      </c>
      <c r="I18" s="3" t="s">
        <v>70</v>
      </c>
      <c r="J18" s="3" t="s">
        <v>18</v>
      </c>
      <c r="K18" s="3">
        <v>8</v>
      </c>
      <c r="L18" s="3">
        <f t="shared" si="0"/>
        <v>10</v>
      </c>
      <c r="M18" s="3">
        <v>7</v>
      </c>
      <c r="N18" s="3">
        <f t="shared" si="1"/>
        <v>3</v>
      </c>
      <c r="O18" s="3" t="s">
        <v>19</v>
      </c>
      <c r="P18" s="13" t="s">
        <v>71</v>
      </c>
      <c r="Q18" s="9">
        <v>69825.919999999998</v>
      </c>
      <c r="R18" s="5" t="s">
        <v>18</v>
      </c>
      <c r="S18" s="3">
        <v>0</v>
      </c>
    </row>
    <row r="19" spans="1:19" x14ac:dyDescent="0.25">
      <c r="A19" s="3">
        <v>16105664</v>
      </c>
      <c r="B19" s="3" t="s">
        <v>72</v>
      </c>
      <c r="C19" s="3" t="s">
        <v>15</v>
      </c>
      <c r="D19" s="3" t="s">
        <v>73</v>
      </c>
      <c r="E19" s="3" t="s">
        <v>74</v>
      </c>
      <c r="F19" s="3" t="s">
        <v>74</v>
      </c>
      <c r="G19" s="4">
        <v>42433</v>
      </c>
      <c r="H19" s="4">
        <v>46208</v>
      </c>
      <c r="I19" s="3" t="s">
        <v>75</v>
      </c>
      <c r="J19" s="3" t="s">
        <v>18</v>
      </c>
      <c r="K19" s="3">
        <v>8</v>
      </c>
      <c r="L19" s="3">
        <f t="shared" si="0"/>
        <v>10</v>
      </c>
      <c r="M19" s="3">
        <v>21</v>
      </c>
      <c r="N19" s="3">
        <f t="shared" si="1"/>
        <v>-11</v>
      </c>
      <c r="O19" s="3" t="s">
        <v>19</v>
      </c>
      <c r="P19" s="13" t="s">
        <v>76</v>
      </c>
      <c r="Q19" s="9">
        <v>128124.88</v>
      </c>
      <c r="R19" s="5" t="s">
        <v>18</v>
      </c>
      <c r="S19" s="3">
        <v>0</v>
      </c>
    </row>
    <row r="20" spans="1:19" x14ac:dyDescent="0.25">
      <c r="A20" s="3">
        <v>22104609</v>
      </c>
      <c r="B20" s="3" t="s">
        <v>77</v>
      </c>
      <c r="C20" s="3" t="s">
        <v>15</v>
      </c>
      <c r="D20" s="3">
        <v>9704</v>
      </c>
      <c r="E20" s="3" t="s">
        <v>22</v>
      </c>
      <c r="F20" s="3" t="s">
        <v>74</v>
      </c>
      <c r="G20" s="4">
        <v>44567</v>
      </c>
      <c r="H20" s="4">
        <v>46028</v>
      </c>
      <c r="I20" s="3" t="s">
        <v>56</v>
      </c>
      <c r="J20" s="3" t="s">
        <v>18</v>
      </c>
      <c r="K20" s="3">
        <v>8</v>
      </c>
      <c r="L20" s="3">
        <f t="shared" si="0"/>
        <v>10</v>
      </c>
      <c r="M20" s="3">
        <v>9</v>
      </c>
      <c r="N20" s="3">
        <f t="shared" si="1"/>
        <v>1</v>
      </c>
      <c r="O20" s="3" t="s">
        <v>19</v>
      </c>
      <c r="P20" s="13" t="s">
        <v>78</v>
      </c>
      <c r="Q20" s="9">
        <v>113989.75999999999</v>
      </c>
      <c r="R20" s="5" t="s">
        <v>18</v>
      </c>
      <c r="S20" s="3">
        <v>0</v>
      </c>
    </row>
    <row r="21" spans="1:19" x14ac:dyDescent="0.25">
      <c r="A21" s="3">
        <v>23280631</v>
      </c>
      <c r="B21" s="3" t="s">
        <v>79</v>
      </c>
      <c r="C21" s="3" t="s">
        <v>15</v>
      </c>
      <c r="D21" s="3">
        <v>9701</v>
      </c>
      <c r="E21" s="3" t="s">
        <v>55</v>
      </c>
      <c r="F21" s="3" t="s">
        <v>250</v>
      </c>
      <c r="G21" s="4">
        <v>45198</v>
      </c>
      <c r="H21" s="4">
        <v>46023</v>
      </c>
      <c r="I21" s="3" t="s">
        <v>80</v>
      </c>
      <c r="J21" s="3" t="s">
        <v>18</v>
      </c>
      <c r="K21" s="3">
        <v>8</v>
      </c>
      <c r="L21" s="3">
        <f t="shared" si="0"/>
        <v>10</v>
      </c>
      <c r="M21" s="3">
        <v>6</v>
      </c>
      <c r="N21" s="3">
        <f t="shared" si="1"/>
        <v>4</v>
      </c>
      <c r="O21" s="3" t="s">
        <v>19</v>
      </c>
      <c r="P21" s="13" t="s">
        <v>81</v>
      </c>
      <c r="Q21" s="9">
        <v>64450.65</v>
      </c>
      <c r="R21" s="5" t="s">
        <v>18</v>
      </c>
      <c r="S21" s="3">
        <v>0</v>
      </c>
    </row>
    <row r="22" spans="1:19" x14ac:dyDescent="0.25">
      <c r="A22" s="3">
        <v>21103597</v>
      </c>
      <c r="B22" s="3" t="s">
        <v>82</v>
      </c>
      <c r="C22" s="3" t="s">
        <v>15</v>
      </c>
      <c r="D22" s="3" t="s">
        <v>40</v>
      </c>
      <c r="E22" s="3" t="s">
        <v>41</v>
      </c>
      <c r="F22" s="3" t="s">
        <v>415</v>
      </c>
      <c r="G22" s="4">
        <v>44596</v>
      </c>
      <c r="H22" s="4">
        <v>46023</v>
      </c>
      <c r="I22" s="3" t="s">
        <v>56</v>
      </c>
      <c r="J22" s="3" t="s">
        <v>18</v>
      </c>
      <c r="K22" s="3">
        <v>8</v>
      </c>
      <c r="L22" s="3">
        <f t="shared" si="0"/>
        <v>10</v>
      </c>
      <c r="M22" s="3">
        <v>9</v>
      </c>
      <c r="N22" s="3">
        <f t="shared" si="1"/>
        <v>1</v>
      </c>
      <c r="O22" s="3" t="s">
        <v>19</v>
      </c>
      <c r="P22" s="13" t="s">
        <v>83</v>
      </c>
      <c r="Q22" s="9">
        <v>92026.240000000005</v>
      </c>
      <c r="R22" s="5" t="s">
        <v>84</v>
      </c>
      <c r="S22" s="3">
        <v>1</v>
      </c>
    </row>
    <row r="23" spans="1:19" x14ac:dyDescent="0.25">
      <c r="A23" s="3">
        <v>22280507</v>
      </c>
      <c r="B23" s="3" t="s">
        <v>85</v>
      </c>
      <c r="C23" s="3" t="s">
        <v>15</v>
      </c>
      <c r="D23" s="3">
        <v>9608</v>
      </c>
      <c r="E23" s="3" t="s">
        <v>86</v>
      </c>
      <c r="F23" s="3" t="s">
        <v>86</v>
      </c>
      <c r="G23" s="4">
        <v>44792</v>
      </c>
      <c r="H23" s="4">
        <v>46204</v>
      </c>
      <c r="I23" s="3" t="s">
        <v>29</v>
      </c>
      <c r="J23" s="3" t="s">
        <v>18</v>
      </c>
      <c r="K23" s="3">
        <v>8</v>
      </c>
      <c r="L23" s="3">
        <f t="shared" si="0"/>
        <v>10</v>
      </c>
      <c r="M23" s="3">
        <v>8</v>
      </c>
      <c r="N23" s="3">
        <f t="shared" si="1"/>
        <v>2</v>
      </c>
      <c r="O23" s="3" t="s">
        <v>19</v>
      </c>
      <c r="P23" s="13" t="s">
        <v>83</v>
      </c>
      <c r="Q23" s="9">
        <v>68670.66</v>
      </c>
      <c r="R23" s="5" t="s">
        <v>84</v>
      </c>
      <c r="S23" s="3">
        <v>1</v>
      </c>
    </row>
    <row r="24" spans="1:19" x14ac:dyDescent="0.25">
      <c r="A24" s="3">
        <v>21103095</v>
      </c>
      <c r="B24" s="3" t="s">
        <v>87</v>
      </c>
      <c r="C24" s="3" t="s">
        <v>38</v>
      </c>
      <c r="D24" s="3">
        <v>2556</v>
      </c>
      <c r="E24" s="3" t="s">
        <v>88</v>
      </c>
      <c r="F24" s="3" t="s">
        <v>418</v>
      </c>
      <c r="G24" s="4">
        <v>44267</v>
      </c>
      <c r="H24" s="4">
        <v>45996</v>
      </c>
      <c r="I24" s="3" t="s">
        <v>17</v>
      </c>
      <c r="J24" s="3" t="s">
        <v>18</v>
      </c>
      <c r="K24" s="3">
        <v>8</v>
      </c>
      <c r="L24" s="3">
        <f t="shared" si="0"/>
        <v>10</v>
      </c>
      <c r="M24" s="3">
        <v>11</v>
      </c>
      <c r="N24" s="3">
        <f t="shared" si="1"/>
        <v>-1</v>
      </c>
      <c r="O24" s="3" t="s">
        <v>19</v>
      </c>
      <c r="P24" s="13">
        <v>0.68</v>
      </c>
      <c r="Q24" s="9">
        <v>124803.22</v>
      </c>
      <c r="R24" s="5" t="s">
        <v>84</v>
      </c>
      <c r="S24" s="3">
        <v>1</v>
      </c>
    </row>
    <row r="25" spans="1:19" x14ac:dyDescent="0.25">
      <c r="A25" s="3">
        <v>22280504</v>
      </c>
      <c r="B25" s="3" t="s">
        <v>89</v>
      </c>
      <c r="C25" s="3" t="s">
        <v>15</v>
      </c>
      <c r="D25" s="3" t="s">
        <v>59</v>
      </c>
      <c r="E25" s="3" t="s">
        <v>48</v>
      </c>
      <c r="F25" s="3" t="s">
        <v>48</v>
      </c>
      <c r="G25" s="4">
        <v>44967</v>
      </c>
      <c r="H25" s="4">
        <v>46204</v>
      </c>
      <c r="I25" s="3" t="s">
        <v>70</v>
      </c>
      <c r="J25" s="3" t="s">
        <v>18</v>
      </c>
      <c r="K25" s="3">
        <v>8</v>
      </c>
      <c r="L25" s="3">
        <f t="shared" si="0"/>
        <v>10</v>
      </c>
      <c r="M25" s="3">
        <v>7</v>
      </c>
      <c r="N25" s="3">
        <f t="shared" si="1"/>
        <v>3</v>
      </c>
      <c r="O25" s="3" t="s">
        <v>19</v>
      </c>
      <c r="P25" s="13" t="s">
        <v>90</v>
      </c>
      <c r="Q25" s="9">
        <v>73519.72</v>
      </c>
      <c r="R25" s="5" t="s">
        <v>84</v>
      </c>
      <c r="S25" s="3">
        <v>1</v>
      </c>
    </row>
    <row r="26" spans="1:19" x14ac:dyDescent="0.25">
      <c r="A26" s="3">
        <v>23280410</v>
      </c>
      <c r="B26" s="3" t="s">
        <v>91</v>
      </c>
      <c r="C26" s="3" t="s">
        <v>15</v>
      </c>
      <c r="D26" s="3">
        <v>9701</v>
      </c>
      <c r="E26" s="3" t="s">
        <v>55</v>
      </c>
      <c r="F26" s="3" t="s">
        <v>250</v>
      </c>
      <c r="G26" s="4">
        <v>45155</v>
      </c>
      <c r="H26" s="4">
        <v>46204</v>
      </c>
      <c r="I26" s="3" t="s">
        <v>80</v>
      </c>
      <c r="J26" s="3" t="s">
        <v>18</v>
      </c>
      <c r="K26" s="3">
        <v>8</v>
      </c>
      <c r="L26" s="3">
        <f t="shared" si="0"/>
        <v>10</v>
      </c>
      <c r="M26" s="3">
        <v>6</v>
      </c>
      <c r="N26" s="3">
        <f t="shared" si="1"/>
        <v>4</v>
      </c>
      <c r="O26" s="3" t="s">
        <v>19</v>
      </c>
      <c r="P26" s="13" t="s">
        <v>92</v>
      </c>
      <c r="Q26" s="9">
        <v>59482.86</v>
      </c>
      <c r="R26" s="5" t="s">
        <v>84</v>
      </c>
      <c r="S26" s="3">
        <v>1</v>
      </c>
    </row>
    <row r="27" spans="1:19" x14ac:dyDescent="0.25">
      <c r="A27" s="3">
        <v>20104692</v>
      </c>
      <c r="B27" s="3" t="s">
        <v>93</v>
      </c>
      <c r="C27" s="3" t="s">
        <v>15</v>
      </c>
      <c r="D27" s="3">
        <v>2556</v>
      </c>
      <c r="E27" s="3" t="s">
        <v>88</v>
      </c>
      <c r="F27" s="3" t="s">
        <v>418</v>
      </c>
      <c r="G27" s="4">
        <v>44071</v>
      </c>
      <c r="H27" s="4">
        <v>46178</v>
      </c>
      <c r="I27" s="3" t="s">
        <v>53</v>
      </c>
      <c r="J27" s="3" t="s">
        <v>18</v>
      </c>
      <c r="K27" s="3">
        <v>8</v>
      </c>
      <c r="L27" s="3">
        <f t="shared" si="0"/>
        <v>10</v>
      </c>
      <c r="M27" s="3">
        <v>12</v>
      </c>
      <c r="N27" s="3">
        <f t="shared" si="1"/>
        <v>-2</v>
      </c>
      <c r="O27" s="3" t="s">
        <v>19</v>
      </c>
      <c r="P27" s="13" t="s">
        <v>94</v>
      </c>
      <c r="Q27" s="9">
        <v>131433.41</v>
      </c>
      <c r="R27" s="5" t="s">
        <v>84</v>
      </c>
      <c r="S27" s="3">
        <v>1</v>
      </c>
    </row>
    <row r="28" spans="1:19" x14ac:dyDescent="0.25">
      <c r="A28" s="3">
        <v>21200171</v>
      </c>
      <c r="B28" s="3" t="s">
        <v>95</v>
      </c>
      <c r="C28" s="3" t="s">
        <v>38</v>
      </c>
      <c r="D28" s="3">
        <v>9701</v>
      </c>
      <c r="E28" s="3" t="s">
        <v>55</v>
      </c>
      <c r="F28" s="3" t="s">
        <v>250</v>
      </c>
      <c r="G28" s="4">
        <v>44391</v>
      </c>
      <c r="H28" s="4">
        <v>45996</v>
      </c>
      <c r="I28" s="3" t="s">
        <v>23</v>
      </c>
      <c r="J28" s="3" t="s">
        <v>18</v>
      </c>
      <c r="K28" s="3">
        <v>8</v>
      </c>
      <c r="L28" s="3">
        <f t="shared" si="0"/>
        <v>10</v>
      </c>
      <c r="M28" s="3">
        <v>10</v>
      </c>
      <c r="N28" s="3">
        <f t="shared" si="1"/>
        <v>0</v>
      </c>
      <c r="O28" s="3" t="s">
        <v>19</v>
      </c>
      <c r="P28" s="13" t="s">
        <v>96</v>
      </c>
      <c r="Q28" s="9">
        <v>124443.17</v>
      </c>
      <c r="R28" s="5" t="s">
        <v>84</v>
      </c>
      <c r="S28" s="3">
        <v>1</v>
      </c>
    </row>
    <row r="29" spans="1:19" x14ac:dyDescent="0.25">
      <c r="A29" s="3">
        <v>22280060</v>
      </c>
      <c r="B29" s="3" t="s">
        <v>97</v>
      </c>
      <c r="C29" s="3" t="s">
        <v>15</v>
      </c>
      <c r="D29" s="3" t="s">
        <v>44</v>
      </c>
      <c r="E29" s="3" t="s">
        <v>45</v>
      </c>
      <c r="F29" s="3" t="s">
        <v>45</v>
      </c>
      <c r="G29" s="4">
        <v>44973</v>
      </c>
      <c r="H29" s="4">
        <v>46204</v>
      </c>
      <c r="I29" s="3" t="s">
        <v>70</v>
      </c>
      <c r="J29" s="3" t="s">
        <v>18</v>
      </c>
      <c r="K29" s="3">
        <v>8</v>
      </c>
      <c r="L29" s="3">
        <f t="shared" si="0"/>
        <v>10</v>
      </c>
      <c r="M29" s="3">
        <v>7</v>
      </c>
      <c r="N29" s="3">
        <f t="shared" si="1"/>
        <v>3</v>
      </c>
      <c r="O29" s="3" t="s">
        <v>19</v>
      </c>
      <c r="P29" s="13" t="s">
        <v>27</v>
      </c>
      <c r="Q29" s="9">
        <v>72287.39</v>
      </c>
      <c r="R29" s="5" t="s">
        <v>84</v>
      </c>
      <c r="S29" s="3">
        <v>1</v>
      </c>
    </row>
    <row r="30" spans="1:19" x14ac:dyDescent="0.25">
      <c r="A30" s="3">
        <v>21110603</v>
      </c>
      <c r="B30" s="3" t="s">
        <v>98</v>
      </c>
      <c r="C30" s="3" t="s">
        <v>15</v>
      </c>
      <c r="D30" s="3" t="s">
        <v>59</v>
      </c>
      <c r="E30" s="3" t="s">
        <v>48</v>
      </c>
      <c r="F30" s="3" t="s">
        <v>48</v>
      </c>
      <c r="G30" s="4">
        <v>44279</v>
      </c>
      <c r="H30" s="4">
        <v>46001</v>
      </c>
      <c r="I30" s="3" t="s">
        <v>17</v>
      </c>
      <c r="J30" s="3" t="s">
        <v>18</v>
      </c>
      <c r="K30" s="3">
        <v>8</v>
      </c>
      <c r="L30" s="3">
        <f t="shared" si="0"/>
        <v>10</v>
      </c>
      <c r="M30" s="3">
        <v>11</v>
      </c>
      <c r="N30" s="3">
        <f t="shared" si="1"/>
        <v>-1</v>
      </c>
      <c r="O30" s="3" t="s">
        <v>19</v>
      </c>
      <c r="P30" s="13" t="s">
        <v>99</v>
      </c>
      <c r="Q30" s="9">
        <v>123798.29</v>
      </c>
      <c r="R30" s="5" t="s">
        <v>84</v>
      </c>
      <c r="S30" s="3">
        <v>1</v>
      </c>
    </row>
    <row r="31" spans="1:19" x14ac:dyDescent="0.25">
      <c r="A31" s="3">
        <v>21110190</v>
      </c>
      <c r="B31" s="3" t="s">
        <v>100</v>
      </c>
      <c r="C31" s="3" t="s">
        <v>15</v>
      </c>
      <c r="D31" s="3">
        <v>9611</v>
      </c>
      <c r="E31" s="3" t="s">
        <v>52</v>
      </c>
      <c r="F31" s="3" t="s">
        <v>428</v>
      </c>
      <c r="G31" s="4">
        <v>45672</v>
      </c>
      <c r="H31" s="4">
        <v>46204</v>
      </c>
      <c r="I31" s="3" t="s">
        <v>101</v>
      </c>
      <c r="J31" s="3" t="s">
        <v>18</v>
      </c>
      <c r="K31" s="3">
        <v>10</v>
      </c>
      <c r="L31" s="3">
        <f t="shared" si="0"/>
        <v>12</v>
      </c>
      <c r="M31" s="3">
        <v>3</v>
      </c>
      <c r="N31" s="3">
        <f t="shared" si="1"/>
        <v>9</v>
      </c>
      <c r="O31" s="3" t="s">
        <v>19</v>
      </c>
      <c r="P31" s="13" t="s">
        <v>102</v>
      </c>
      <c r="Q31" s="9">
        <v>31762.48</v>
      </c>
      <c r="R31" s="5" t="s">
        <v>84</v>
      </c>
      <c r="S31" s="3">
        <v>1</v>
      </c>
    </row>
    <row r="32" spans="1:19" x14ac:dyDescent="0.25">
      <c r="A32" s="3">
        <v>19102850</v>
      </c>
      <c r="B32" s="3" t="s">
        <v>103</v>
      </c>
      <c r="C32" s="3" t="s">
        <v>15</v>
      </c>
      <c r="D32" s="3" t="s">
        <v>44</v>
      </c>
      <c r="E32" s="3" t="s">
        <v>45</v>
      </c>
      <c r="F32" s="3" t="s">
        <v>45</v>
      </c>
      <c r="G32" s="4">
        <v>44417</v>
      </c>
      <c r="H32" s="4">
        <v>46178</v>
      </c>
      <c r="I32" s="3" t="s">
        <v>23</v>
      </c>
      <c r="J32" s="3" t="s">
        <v>18</v>
      </c>
      <c r="K32" s="3">
        <v>8</v>
      </c>
      <c r="L32" s="3">
        <f t="shared" si="0"/>
        <v>10</v>
      </c>
      <c r="M32" s="3">
        <v>10</v>
      </c>
      <c r="N32" s="3">
        <f t="shared" si="1"/>
        <v>0</v>
      </c>
      <c r="O32" s="3" t="s">
        <v>19</v>
      </c>
      <c r="P32" s="13" t="s">
        <v>104</v>
      </c>
      <c r="Q32" s="9">
        <v>65610.45</v>
      </c>
      <c r="R32" s="5" t="s">
        <v>84</v>
      </c>
      <c r="S32" s="3">
        <v>1</v>
      </c>
    </row>
    <row r="33" spans="1:19" x14ac:dyDescent="0.25">
      <c r="A33" s="3">
        <v>19105136</v>
      </c>
      <c r="B33" s="3" t="s">
        <v>105</v>
      </c>
      <c r="C33" s="3" t="s">
        <v>15</v>
      </c>
      <c r="D33" s="3">
        <v>4711</v>
      </c>
      <c r="E33" s="3" t="s">
        <v>106</v>
      </c>
      <c r="F33" s="3" t="s">
        <v>133</v>
      </c>
      <c r="G33" s="4">
        <v>43510</v>
      </c>
      <c r="H33" s="4">
        <v>46006</v>
      </c>
      <c r="I33" s="3" t="s">
        <v>107</v>
      </c>
      <c r="J33" s="3" t="s">
        <v>18</v>
      </c>
      <c r="K33" s="3">
        <v>6</v>
      </c>
      <c r="L33" s="3">
        <f t="shared" si="0"/>
        <v>8</v>
      </c>
      <c r="M33" s="3">
        <v>15</v>
      </c>
      <c r="N33" s="3">
        <f t="shared" si="1"/>
        <v>-7</v>
      </c>
      <c r="O33" s="3" t="s">
        <v>19</v>
      </c>
      <c r="P33" s="13" t="s">
        <v>108</v>
      </c>
      <c r="Q33" s="9">
        <v>58601.11</v>
      </c>
      <c r="R33" s="5" t="s">
        <v>84</v>
      </c>
      <c r="S33" s="3">
        <v>1</v>
      </c>
    </row>
    <row r="34" spans="1:19" x14ac:dyDescent="0.25">
      <c r="A34" s="3">
        <v>21280702</v>
      </c>
      <c r="B34" s="3" t="s">
        <v>109</v>
      </c>
      <c r="C34" s="3" t="s">
        <v>15</v>
      </c>
      <c r="D34" s="3">
        <v>9610</v>
      </c>
      <c r="E34" s="3" t="s">
        <v>110</v>
      </c>
      <c r="F34" s="3" t="s">
        <v>110</v>
      </c>
      <c r="G34" s="4">
        <v>44440</v>
      </c>
      <c r="H34" s="4">
        <v>46082</v>
      </c>
      <c r="I34" s="3" t="s">
        <v>23</v>
      </c>
      <c r="J34" s="3" t="s">
        <v>18</v>
      </c>
      <c r="K34" s="3">
        <v>10</v>
      </c>
      <c r="L34" s="3">
        <f t="shared" si="0"/>
        <v>12</v>
      </c>
      <c r="M34" s="3">
        <v>10</v>
      </c>
      <c r="N34" s="3">
        <f t="shared" si="1"/>
        <v>2</v>
      </c>
      <c r="O34" s="3" t="s">
        <v>19</v>
      </c>
      <c r="P34" s="13" t="s">
        <v>111</v>
      </c>
      <c r="Q34" s="9">
        <v>101743.03999999999</v>
      </c>
      <c r="R34" s="5" t="s">
        <v>84</v>
      </c>
      <c r="S34" s="3">
        <v>1</v>
      </c>
    </row>
    <row r="35" spans="1:19" x14ac:dyDescent="0.25">
      <c r="A35" s="3">
        <v>21101076</v>
      </c>
      <c r="B35" s="3" t="s">
        <v>112</v>
      </c>
      <c r="C35" s="3" t="s">
        <v>38</v>
      </c>
      <c r="D35" s="3" t="s">
        <v>44</v>
      </c>
      <c r="E35" s="3" t="s">
        <v>45</v>
      </c>
      <c r="F35" s="3" t="s">
        <v>45</v>
      </c>
      <c r="G35" s="4">
        <v>44251</v>
      </c>
      <c r="H35" s="4">
        <v>45996</v>
      </c>
      <c r="I35" s="3" t="s">
        <v>17</v>
      </c>
      <c r="J35" s="3" t="s">
        <v>18</v>
      </c>
      <c r="K35" s="3">
        <v>8</v>
      </c>
      <c r="L35" s="3">
        <f t="shared" si="0"/>
        <v>10</v>
      </c>
      <c r="M35" s="3">
        <v>11</v>
      </c>
      <c r="N35" s="3">
        <f t="shared" si="1"/>
        <v>-1</v>
      </c>
      <c r="O35" s="3" t="s">
        <v>19</v>
      </c>
      <c r="P35" s="13" t="s">
        <v>113</v>
      </c>
      <c r="Q35" s="9">
        <v>86107.48</v>
      </c>
      <c r="R35" s="5" t="s">
        <v>84</v>
      </c>
      <c r="S35" s="3">
        <v>1</v>
      </c>
    </row>
    <row r="36" spans="1:19" x14ac:dyDescent="0.25">
      <c r="A36" s="3">
        <v>22104394</v>
      </c>
      <c r="B36" s="3" t="s">
        <v>114</v>
      </c>
      <c r="C36" s="3" t="s">
        <v>15</v>
      </c>
      <c r="D36" s="3" t="s">
        <v>115</v>
      </c>
      <c r="E36" s="3" t="s">
        <v>116</v>
      </c>
      <c r="F36" s="3" t="s">
        <v>414</v>
      </c>
      <c r="G36" s="4">
        <v>44567</v>
      </c>
      <c r="H36" s="4">
        <v>46028</v>
      </c>
      <c r="I36" s="3" t="s">
        <v>56</v>
      </c>
      <c r="J36" s="3" t="s">
        <v>18</v>
      </c>
      <c r="K36" s="3">
        <v>8</v>
      </c>
      <c r="L36" s="3">
        <f t="shared" si="0"/>
        <v>10</v>
      </c>
      <c r="M36" s="3">
        <v>9</v>
      </c>
      <c r="N36" s="3">
        <f t="shared" si="1"/>
        <v>1</v>
      </c>
      <c r="O36" s="3" t="s">
        <v>19</v>
      </c>
      <c r="P36" s="13" t="s">
        <v>117</v>
      </c>
      <c r="Q36" s="9">
        <v>69404</v>
      </c>
      <c r="R36" s="5" t="s">
        <v>84</v>
      </c>
      <c r="S36" s="3">
        <v>1</v>
      </c>
    </row>
    <row r="37" spans="1:19" x14ac:dyDescent="0.25">
      <c r="A37" s="3">
        <v>22180355</v>
      </c>
      <c r="B37" s="3" t="s">
        <v>118</v>
      </c>
      <c r="C37" s="3" t="s">
        <v>15</v>
      </c>
      <c r="D37" s="3">
        <v>9610</v>
      </c>
      <c r="E37" s="3" t="s">
        <v>110</v>
      </c>
      <c r="F37" s="3" t="s">
        <v>110</v>
      </c>
      <c r="G37" s="4">
        <v>44784</v>
      </c>
      <c r="H37" s="4">
        <v>46204</v>
      </c>
      <c r="I37" s="3" t="s">
        <v>29</v>
      </c>
      <c r="J37" s="3" t="s">
        <v>18</v>
      </c>
      <c r="K37" s="3">
        <v>10</v>
      </c>
      <c r="L37" s="3">
        <f t="shared" si="0"/>
        <v>12</v>
      </c>
      <c r="M37" s="3">
        <v>8</v>
      </c>
      <c r="N37" s="3">
        <f t="shared" si="1"/>
        <v>4</v>
      </c>
      <c r="O37" s="3" t="s">
        <v>19</v>
      </c>
      <c r="P37" s="13" t="s">
        <v>117</v>
      </c>
      <c r="Q37" s="9">
        <v>77098.89</v>
      </c>
      <c r="R37" s="5" t="s">
        <v>84</v>
      </c>
      <c r="S37" s="3">
        <v>1</v>
      </c>
    </row>
    <row r="38" spans="1:19" x14ac:dyDescent="0.25">
      <c r="A38" s="3">
        <v>22200923</v>
      </c>
      <c r="B38" s="3" t="s">
        <v>119</v>
      </c>
      <c r="C38" s="3" t="s">
        <v>15</v>
      </c>
      <c r="D38" s="3" t="s">
        <v>59</v>
      </c>
      <c r="E38" s="3" t="s">
        <v>48</v>
      </c>
      <c r="F38" s="3" t="s">
        <v>48</v>
      </c>
      <c r="G38" s="4">
        <v>44775</v>
      </c>
      <c r="H38" s="4">
        <v>46204</v>
      </c>
      <c r="I38" s="3" t="s">
        <v>29</v>
      </c>
      <c r="J38" s="3" t="s">
        <v>18</v>
      </c>
      <c r="K38" s="3">
        <v>8</v>
      </c>
      <c r="L38" s="3">
        <f t="shared" si="0"/>
        <v>10</v>
      </c>
      <c r="M38" s="3">
        <v>8</v>
      </c>
      <c r="N38" s="3">
        <f t="shared" si="1"/>
        <v>2</v>
      </c>
      <c r="O38" s="3" t="s">
        <v>19</v>
      </c>
      <c r="P38" s="13" t="s">
        <v>120</v>
      </c>
      <c r="Q38" s="9">
        <v>83124.759999999995</v>
      </c>
      <c r="R38" s="5" t="s">
        <v>84</v>
      </c>
      <c r="S38" s="3">
        <v>1</v>
      </c>
    </row>
    <row r="39" spans="1:19" x14ac:dyDescent="0.25">
      <c r="A39" s="3">
        <v>21102256</v>
      </c>
      <c r="B39" s="3" t="s">
        <v>121</v>
      </c>
      <c r="C39" s="3" t="s">
        <v>15</v>
      </c>
      <c r="D39" s="3">
        <v>4465</v>
      </c>
      <c r="E39" s="3" t="s">
        <v>122</v>
      </c>
      <c r="F39" s="3" t="s">
        <v>424</v>
      </c>
      <c r="G39" s="4">
        <v>44306</v>
      </c>
      <c r="H39" s="4">
        <v>46132</v>
      </c>
      <c r="I39" s="3" t="s">
        <v>17</v>
      </c>
      <c r="J39" s="3" t="s">
        <v>18</v>
      </c>
      <c r="K39" s="3">
        <v>10</v>
      </c>
      <c r="L39" s="3">
        <f t="shared" si="0"/>
        <v>12</v>
      </c>
      <c r="M39" s="3">
        <v>11</v>
      </c>
      <c r="N39" s="3">
        <f t="shared" si="1"/>
        <v>1</v>
      </c>
      <c r="O39" s="3" t="s">
        <v>19</v>
      </c>
      <c r="P39" s="13" t="s">
        <v>123</v>
      </c>
      <c r="Q39" s="9">
        <v>106170.59</v>
      </c>
      <c r="R39" s="5" t="s">
        <v>84</v>
      </c>
      <c r="S39" s="3">
        <v>1</v>
      </c>
    </row>
    <row r="40" spans="1:19" x14ac:dyDescent="0.25">
      <c r="A40" s="3">
        <v>22200795</v>
      </c>
      <c r="B40" s="3" t="s">
        <v>124</v>
      </c>
      <c r="C40" s="3" t="s">
        <v>15</v>
      </c>
      <c r="D40" s="3" t="s">
        <v>44</v>
      </c>
      <c r="E40" s="3" t="s">
        <v>45</v>
      </c>
      <c r="F40" s="3" t="s">
        <v>45</v>
      </c>
      <c r="G40" s="4">
        <v>44755</v>
      </c>
      <c r="H40" s="4">
        <v>46204</v>
      </c>
      <c r="I40" s="3" t="s">
        <v>29</v>
      </c>
      <c r="J40" s="3" t="s">
        <v>18</v>
      </c>
      <c r="K40" s="3">
        <v>8</v>
      </c>
      <c r="L40" s="3">
        <f t="shared" si="0"/>
        <v>10</v>
      </c>
      <c r="M40" s="3">
        <v>8</v>
      </c>
      <c r="N40" s="3">
        <f t="shared" si="1"/>
        <v>2</v>
      </c>
      <c r="O40" s="3" t="s">
        <v>19</v>
      </c>
      <c r="P40" s="13" t="s">
        <v>125</v>
      </c>
      <c r="Q40" s="9">
        <v>90862.27</v>
      </c>
      <c r="R40" s="5" t="s">
        <v>84</v>
      </c>
      <c r="S40" s="3">
        <v>1</v>
      </c>
    </row>
    <row r="41" spans="1:19" x14ac:dyDescent="0.25">
      <c r="A41" s="3">
        <v>19108021</v>
      </c>
      <c r="B41" s="3" t="s">
        <v>126</v>
      </c>
      <c r="C41" s="3" t="s">
        <v>15</v>
      </c>
      <c r="D41" s="3">
        <v>1311</v>
      </c>
      <c r="E41" s="3" t="s">
        <v>127</v>
      </c>
      <c r="F41" s="3" t="s">
        <v>428</v>
      </c>
      <c r="G41" s="4">
        <v>43899</v>
      </c>
      <c r="H41" s="4">
        <v>46183</v>
      </c>
      <c r="I41" s="3" t="s">
        <v>49</v>
      </c>
      <c r="J41" s="3" t="s">
        <v>18</v>
      </c>
      <c r="K41" s="3">
        <v>10</v>
      </c>
      <c r="L41" s="3">
        <f t="shared" si="0"/>
        <v>12</v>
      </c>
      <c r="M41" s="3">
        <v>13</v>
      </c>
      <c r="N41" s="3">
        <f t="shared" si="1"/>
        <v>-1</v>
      </c>
      <c r="O41" s="3" t="s">
        <v>19</v>
      </c>
      <c r="P41" s="13" t="s">
        <v>128</v>
      </c>
      <c r="Q41" s="9">
        <v>134110.17000000001</v>
      </c>
      <c r="R41" s="5" t="s">
        <v>84</v>
      </c>
      <c r="S41" s="3">
        <v>1</v>
      </c>
    </row>
    <row r="42" spans="1:19" x14ac:dyDescent="0.25">
      <c r="A42" s="3">
        <v>21110208</v>
      </c>
      <c r="B42" s="3" t="s">
        <v>129</v>
      </c>
      <c r="C42" s="3" t="s">
        <v>15</v>
      </c>
      <c r="D42" s="3">
        <v>9704</v>
      </c>
      <c r="E42" s="3" t="s">
        <v>22</v>
      </c>
      <c r="F42" s="3" t="s">
        <v>74</v>
      </c>
      <c r="G42" s="4">
        <v>44251</v>
      </c>
      <c r="H42" s="4">
        <v>46178</v>
      </c>
      <c r="I42" s="3" t="s">
        <v>17</v>
      </c>
      <c r="J42" s="3" t="s">
        <v>18</v>
      </c>
      <c r="K42" s="3">
        <v>8</v>
      </c>
      <c r="L42" s="3">
        <f t="shared" si="0"/>
        <v>10</v>
      </c>
      <c r="M42" s="3">
        <v>11</v>
      </c>
      <c r="N42" s="3">
        <f t="shared" si="1"/>
        <v>-1</v>
      </c>
      <c r="O42" s="3" t="s">
        <v>19</v>
      </c>
      <c r="P42" s="13" t="s">
        <v>130</v>
      </c>
      <c r="Q42" s="9">
        <v>86064.71</v>
      </c>
      <c r="R42" s="5" t="s">
        <v>84</v>
      </c>
      <c r="S42" s="3">
        <v>1</v>
      </c>
    </row>
    <row r="43" spans="1:19" x14ac:dyDescent="0.25">
      <c r="A43" s="3">
        <v>23103487</v>
      </c>
      <c r="B43" s="3" t="s">
        <v>131</v>
      </c>
      <c r="C43" s="3" t="s">
        <v>38</v>
      </c>
      <c r="D43" s="3" t="s">
        <v>132</v>
      </c>
      <c r="E43" s="3" t="s">
        <v>133</v>
      </c>
      <c r="F43" s="3" t="s">
        <v>133</v>
      </c>
      <c r="G43" s="4">
        <v>44938</v>
      </c>
      <c r="H43" s="4">
        <v>46204</v>
      </c>
      <c r="I43" s="3" t="s">
        <v>70</v>
      </c>
      <c r="J43" s="3" t="s">
        <v>18</v>
      </c>
      <c r="K43" s="3">
        <v>7</v>
      </c>
      <c r="L43" s="3">
        <f t="shared" si="0"/>
        <v>9</v>
      </c>
      <c r="M43" s="3">
        <v>7</v>
      </c>
      <c r="N43" s="3">
        <f t="shared" si="1"/>
        <v>2</v>
      </c>
      <c r="O43" s="3" t="s">
        <v>19</v>
      </c>
      <c r="P43" s="13" t="s">
        <v>134</v>
      </c>
      <c r="Q43" s="9">
        <v>122306.68</v>
      </c>
      <c r="R43" s="5" t="s">
        <v>84</v>
      </c>
      <c r="S43" s="3">
        <v>1</v>
      </c>
    </row>
    <row r="44" spans="1:19" x14ac:dyDescent="0.25">
      <c r="A44" s="3">
        <v>22107149</v>
      </c>
      <c r="B44" s="3" t="s">
        <v>135</v>
      </c>
      <c r="C44" s="3" t="s">
        <v>15</v>
      </c>
      <c r="D44" s="3" t="s">
        <v>40</v>
      </c>
      <c r="E44" s="3" t="s">
        <v>41</v>
      </c>
      <c r="F44" s="3" t="s">
        <v>415</v>
      </c>
      <c r="G44" s="4">
        <v>44635</v>
      </c>
      <c r="H44" s="4">
        <v>46023</v>
      </c>
      <c r="I44" s="3" t="s">
        <v>56</v>
      </c>
      <c r="J44" s="3" t="s">
        <v>18</v>
      </c>
      <c r="K44" s="3">
        <v>8</v>
      </c>
      <c r="L44" s="3">
        <f t="shared" si="0"/>
        <v>10</v>
      </c>
      <c r="M44" s="3">
        <v>9</v>
      </c>
      <c r="N44" s="3">
        <f t="shared" si="1"/>
        <v>1</v>
      </c>
      <c r="O44" s="3" t="s">
        <v>19</v>
      </c>
      <c r="P44" s="13" t="s">
        <v>136</v>
      </c>
      <c r="Q44" s="9">
        <v>98652.5</v>
      </c>
      <c r="R44" s="5" t="s">
        <v>84</v>
      </c>
      <c r="S44" s="3">
        <v>1</v>
      </c>
    </row>
    <row r="45" spans="1:19" x14ac:dyDescent="0.25">
      <c r="A45" s="3">
        <v>22180462</v>
      </c>
      <c r="B45" s="3" t="s">
        <v>137</v>
      </c>
      <c r="C45" s="3" t="s">
        <v>15</v>
      </c>
      <c r="D45" s="3" t="s">
        <v>44</v>
      </c>
      <c r="E45" s="3" t="s">
        <v>45</v>
      </c>
      <c r="F45" s="3" t="s">
        <v>45</v>
      </c>
      <c r="G45" s="4">
        <v>44617</v>
      </c>
      <c r="H45" s="4">
        <v>46023</v>
      </c>
      <c r="I45" s="3" t="s">
        <v>56</v>
      </c>
      <c r="J45" s="3" t="s">
        <v>18</v>
      </c>
      <c r="K45" s="3">
        <v>8</v>
      </c>
      <c r="L45" s="3">
        <f t="shared" si="0"/>
        <v>10</v>
      </c>
      <c r="M45" s="3">
        <v>9</v>
      </c>
      <c r="N45" s="3">
        <f t="shared" si="1"/>
        <v>1</v>
      </c>
      <c r="O45" s="3" t="s">
        <v>19</v>
      </c>
      <c r="P45" s="13" t="s">
        <v>138</v>
      </c>
      <c r="Q45" s="9">
        <v>94016.68</v>
      </c>
      <c r="R45" s="5" t="s">
        <v>84</v>
      </c>
      <c r="S45" s="3">
        <v>1</v>
      </c>
    </row>
    <row r="46" spans="1:19" x14ac:dyDescent="0.25">
      <c r="A46" s="3">
        <v>14106646</v>
      </c>
      <c r="B46" s="3" t="s">
        <v>139</v>
      </c>
      <c r="C46" s="3" t="s">
        <v>15</v>
      </c>
      <c r="D46" s="3">
        <v>9611</v>
      </c>
      <c r="E46" s="3" t="s">
        <v>52</v>
      </c>
      <c r="F46" s="3" t="s">
        <v>428</v>
      </c>
      <c r="G46" s="4">
        <v>45008</v>
      </c>
      <c r="H46" s="4">
        <v>46178</v>
      </c>
      <c r="I46" s="3" t="s">
        <v>70</v>
      </c>
      <c r="J46" s="3" t="s">
        <v>18</v>
      </c>
      <c r="K46" s="3">
        <v>10</v>
      </c>
      <c r="L46" s="3">
        <f t="shared" si="0"/>
        <v>12</v>
      </c>
      <c r="M46" s="3">
        <v>7</v>
      </c>
      <c r="N46" s="3">
        <f t="shared" si="1"/>
        <v>5</v>
      </c>
      <c r="O46" s="3" t="s">
        <v>19</v>
      </c>
      <c r="P46" s="13" t="s">
        <v>140</v>
      </c>
      <c r="Q46" s="9">
        <v>71792.990000000005</v>
      </c>
      <c r="R46" s="5" t="s">
        <v>84</v>
      </c>
      <c r="S46" s="3">
        <v>1</v>
      </c>
    </row>
    <row r="47" spans="1:19" x14ac:dyDescent="0.25">
      <c r="A47" s="3">
        <v>22280189</v>
      </c>
      <c r="B47" s="3" t="s">
        <v>141</v>
      </c>
      <c r="C47" s="3" t="s">
        <v>38</v>
      </c>
      <c r="D47" s="3">
        <v>9612</v>
      </c>
      <c r="E47" s="3" t="s">
        <v>64</v>
      </c>
      <c r="F47" s="3" t="s">
        <v>428</v>
      </c>
      <c r="G47" s="4">
        <v>44991</v>
      </c>
      <c r="H47" s="4">
        <v>46183</v>
      </c>
      <c r="I47" s="3" t="s">
        <v>70</v>
      </c>
      <c r="J47" s="3" t="s">
        <v>18</v>
      </c>
      <c r="K47" s="3">
        <v>10</v>
      </c>
      <c r="L47" s="3">
        <f t="shared" si="0"/>
        <v>12</v>
      </c>
      <c r="M47" s="3">
        <v>7</v>
      </c>
      <c r="N47" s="3">
        <f t="shared" si="1"/>
        <v>5</v>
      </c>
      <c r="O47" s="3" t="s">
        <v>19</v>
      </c>
      <c r="P47" s="13" t="s">
        <v>140</v>
      </c>
      <c r="Q47" s="9">
        <v>66167.149999999994</v>
      </c>
      <c r="R47" s="5" t="s">
        <v>84</v>
      </c>
      <c r="S47" s="3">
        <v>1</v>
      </c>
    </row>
    <row r="48" spans="1:19" x14ac:dyDescent="0.25">
      <c r="A48" s="3">
        <v>20105305</v>
      </c>
      <c r="B48" s="3" t="s">
        <v>142</v>
      </c>
      <c r="C48" s="3" t="s">
        <v>38</v>
      </c>
      <c r="D48" s="3" t="s">
        <v>115</v>
      </c>
      <c r="E48" s="3" t="s">
        <v>116</v>
      </c>
      <c r="F48" s="3" t="s">
        <v>414</v>
      </c>
      <c r="G48" s="4">
        <v>44078</v>
      </c>
      <c r="H48" s="4">
        <v>45355</v>
      </c>
      <c r="I48" s="3" t="s">
        <v>53</v>
      </c>
      <c r="J48" s="3" t="s">
        <v>18</v>
      </c>
      <c r="K48" s="3">
        <v>8</v>
      </c>
      <c r="L48" s="3">
        <f t="shared" si="0"/>
        <v>10</v>
      </c>
      <c r="M48" s="3">
        <v>12</v>
      </c>
      <c r="N48" s="3">
        <f t="shared" si="1"/>
        <v>-2</v>
      </c>
      <c r="O48" s="3" t="s">
        <v>19</v>
      </c>
      <c r="P48" s="13">
        <v>0.79</v>
      </c>
      <c r="Q48" s="9">
        <v>139173.01999999999</v>
      </c>
      <c r="R48" s="5" t="s">
        <v>84</v>
      </c>
      <c r="S48" s="3">
        <v>1</v>
      </c>
    </row>
    <row r="49" spans="1:19" x14ac:dyDescent="0.25">
      <c r="A49" s="3">
        <v>21101058</v>
      </c>
      <c r="B49" s="3" t="s">
        <v>143</v>
      </c>
      <c r="C49" s="3" t="s">
        <v>15</v>
      </c>
      <c r="D49" s="3">
        <v>9612</v>
      </c>
      <c r="E49" s="3" t="s">
        <v>64</v>
      </c>
      <c r="F49" s="3" t="s">
        <v>428</v>
      </c>
      <c r="G49" s="4">
        <v>44313</v>
      </c>
      <c r="H49" s="4">
        <v>46139</v>
      </c>
      <c r="I49" s="3" t="s">
        <v>17</v>
      </c>
      <c r="J49" s="3" t="s">
        <v>18</v>
      </c>
      <c r="K49" s="3">
        <v>10</v>
      </c>
      <c r="L49" s="3">
        <f t="shared" si="0"/>
        <v>12</v>
      </c>
      <c r="M49" s="3">
        <v>11</v>
      </c>
      <c r="N49" s="3">
        <f t="shared" si="1"/>
        <v>1</v>
      </c>
      <c r="O49" s="3" t="s">
        <v>19</v>
      </c>
      <c r="P49" s="13" t="s">
        <v>144</v>
      </c>
      <c r="Q49" s="9">
        <v>124778.17</v>
      </c>
      <c r="R49" s="5" t="s">
        <v>84</v>
      </c>
      <c r="S49" s="3">
        <v>1</v>
      </c>
    </row>
    <row r="50" spans="1:19" x14ac:dyDescent="0.25">
      <c r="A50" s="3">
        <v>21200724</v>
      </c>
      <c r="B50" s="3" t="s">
        <v>145</v>
      </c>
      <c r="C50" s="3" t="s">
        <v>15</v>
      </c>
      <c r="D50" s="3">
        <v>9201</v>
      </c>
      <c r="E50" s="3" t="s">
        <v>146</v>
      </c>
      <c r="F50" s="3" t="s">
        <v>420</v>
      </c>
      <c r="G50" s="4">
        <v>44390</v>
      </c>
      <c r="H50" s="4">
        <v>46216</v>
      </c>
      <c r="I50" s="3" t="s">
        <v>23</v>
      </c>
      <c r="J50" s="3" t="s">
        <v>18</v>
      </c>
      <c r="K50" s="3">
        <v>10</v>
      </c>
      <c r="L50" s="3">
        <f t="shared" si="0"/>
        <v>12</v>
      </c>
      <c r="M50" s="3">
        <v>10</v>
      </c>
      <c r="N50" s="3">
        <f t="shared" si="1"/>
        <v>2</v>
      </c>
      <c r="O50" s="3" t="s">
        <v>19</v>
      </c>
      <c r="P50" s="13" t="s">
        <v>147</v>
      </c>
      <c r="Q50" s="9">
        <v>99154.26</v>
      </c>
      <c r="R50" s="5" t="s">
        <v>84</v>
      </c>
      <c r="S50" s="3">
        <v>1</v>
      </c>
    </row>
    <row r="51" spans="1:19" x14ac:dyDescent="0.25">
      <c r="A51" s="3">
        <v>22106641</v>
      </c>
      <c r="B51" s="3" t="s">
        <v>148</v>
      </c>
      <c r="C51" s="3" t="s">
        <v>15</v>
      </c>
      <c r="D51" s="3">
        <v>2337</v>
      </c>
      <c r="E51" s="3" t="s">
        <v>149</v>
      </c>
      <c r="F51" s="3" t="s">
        <v>419</v>
      </c>
      <c r="G51" s="4">
        <v>44585</v>
      </c>
      <c r="H51" s="4">
        <v>46046</v>
      </c>
      <c r="I51" s="3" t="s">
        <v>56</v>
      </c>
      <c r="J51" s="3" t="s">
        <v>18</v>
      </c>
      <c r="K51" s="3">
        <v>8</v>
      </c>
      <c r="L51" s="3">
        <f t="shared" si="0"/>
        <v>10</v>
      </c>
      <c r="M51" s="3">
        <v>9</v>
      </c>
      <c r="N51" s="3">
        <f t="shared" si="1"/>
        <v>1</v>
      </c>
      <c r="O51" s="3" t="s">
        <v>19</v>
      </c>
      <c r="P51" s="13" t="s">
        <v>150</v>
      </c>
      <c r="Q51" s="9">
        <v>85997.24</v>
      </c>
      <c r="R51" s="5" t="s">
        <v>84</v>
      </c>
      <c r="S51" s="3">
        <v>1</v>
      </c>
    </row>
    <row r="52" spans="1:19" x14ac:dyDescent="0.25">
      <c r="A52" s="3">
        <v>20107705</v>
      </c>
      <c r="B52" s="3" t="s">
        <v>151</v>
      </c>
      <c r="C52" s="3" t="s">
        <v>15</v>
      </c>
      <c r="D52" s="3">
        <v>1310</v>
      </c>
      <c r="E52" s="3" t="s">
        <v>52</v>
      </c>
      <c r="F52" s="3" t="s">
        <v>428</v>
      </c>
      <c r="G52" s="4">
        <v>43871</v>
      </c>
      <c r="H52" s="4">
        <v>46178</v>
      </c>
      <c r="I52" s="3" t="s">
        <v>49</v>
      </c>
      <c r="J52" s="3" t="s">
        <v>18</v>
      </c>
      <c r="K52" s="3">
        <v>10</v>
      </c>
      <c r="L52" s="3">
        <f t="shared" si="0"/>
        <v>12</v>
      </c>
      <c r="M52" s="3">
        <v>13</v>
      </c>
      <c r="N52" s="3">
        <f t="shared" si="1"/>
        <v>-1</v>
      </c>
      <c r="O52" s="3" t="s">
        <v>19</v>
      </c>
      <c r="P52" s="13" t="s">
        <v>152</v>
      </c>
      <c r="Q52" s="9">
        <v>153540</v>
      </c>
      <c r="R52" s="5" t="s">
        <v>84</v>
      </c>
      <c r="S52" s="3">
        <v>1</v>
      </c>
    </row>
    <row r="53" spans="1:19" x14ac:dyDescent="0.25">
      <c r="A53" s="3">
        <v>18103063</v>
      </c>
      <c r="B53" s="3" t="s">
        <v>153</v>
      </c>
      <c r="C53" s="3" t="s">
        <v>38</v>
      </c>
      <c r="D53" s="3">
        <v>4804</v>
      </c>
      <c r="E53" s="3" t="s">
        <v>154</v>
      </c>
      <c r="F53" s="3" t="s">
        <v>154</v>
      </c>
      <c r="G53" s="4">
        <v>43181</v>
      </c>
      <c r="H53" s="4">
        <v>45290</v>
      </c>
      <c r="I53" s="3" t="s">
        <v>155</v>
      </c>
      <c r="J53" s="3" t="s">
        <v>18</v>
      </c>
      <c r="K53" s="3">
        <v>10</v>
      </c>
      <c r="L53" s="3">
        <f t="shared" si="0"/>
        <v>12</v>
      </c>
      <c r="M53" s="3">
        <v>17</v>
      </c>
      <c r="N53" s="3">
        <f t="shared" si="1"/>
        <v>-5</v>
      </c>
      <c r="O53" s="3" t="s">
        <v>19</v>
      </c>
      <c r="P53" s="13" t="s">
        <v>156</v>
      </c>
      <c r="Q53" s="9">
        <v>86359.69</v>
      </c>
      <c r="R53" s="5" t="s">
        <v>84</v>
      </c>
      <c r="S53" s="3">
        <v>1</v>
      </c>
    </row>
    <row r="54" spans="1:19" x14ac:dyDescent="0.25">
      <c r="A54" s="3">
        <v>20104124</v>
      </c>
      <c r="B54" s="3" t="s">
        <v>157</v>
      </c>
      <c r="C54" s="3" t="s">
        <v>15</v>
      </c>
      <c r="D54" s="3">
        <v>2338</v>
      </c>
      <c r="E54" s="3" t="s">
        <v>158</v>
      </c>
      <c r="F54" s="3" t="s">
        <v>419</v>
      </c>
      <c r="G54" s="4">
        <v>43887</v>
      </c>
      <c r="H54" s="4">
        <v>46178</v>
      </c>
      <c r="I54" s="3" t="s">
        <v>49</v>
      </c>
      <c r="J54" s="3" t="s">
        <v>18</v>
      </c>
      <c r="K54" s="3">
        <v>8</v>
      </c>
      <c r="L54" s="3">
        <f t="shared" si="0"/>
        <v>10</v>
      </c>
      <c r="M54" s="3">
        <v>13</v>
      </c>
      <c r="N54" s="3">
        <f t="shared" si="1"/>
        <v>-3</v>
      </c>
      <c r="O54" s="3" t="s">
        <v>19</v>
      </c>
      <c r="P54" s="13" t="s">
        <v>159</v>
      </c>
      <c r="Q54" s="9">
        <v>167913.79</v>
      </c>
      <c r="R54" s="5" t="s">
        <v>84</v>
      </c>
      <c r="S54" s="3">
        <v>1</v>
      </c>
    </row>
    <row r="55" spans="1:19" x14ac:dyDescent="0.25">
      <c r="A55" s="3">
        <v>19180841</v>
      </c>
      <c r="B55" s="3" t="s">
        <v>160</v>
      </c>
      <c r="C55" s="3" t="s">
        <v>15</v>
      </c>
      <c r="D55" s="3">
        <v>2425</v>
      </c>
      <c r="E55" s="3" t="s">
        <v>146</v>
      </c>
      <c r="F55" s="3" t="s">
        <v>420</v>
      </c>
      <c r="G55" s="4">
        <v>43560</v>
      </c>
      <c r="H55" s="4">
        <v>46178</v>
      </c>
      <c r="I55" s="3" t="s">
        <v>107</v>
      </c>
      <c r="J55" s="3" t="s">
        <v>18</v>
      </c>
      <c r="K55" s="3">
        <v>10</v>
      </c>
      <c r="L55" s="3">
        <f t="shared" si="0"/>
        <v>12</v>
      </c>
      <c r="M55" s="3">
        <v>15</v>
      </c>
      <c r="N55" s="3">
        <f t="shared" si="1"/>
        <v>-3</v>
      </c>
      <c r="O55" s="3" t="s">
        <v>19</v>
      </c>
      <c r="P55" s="13" t="s">
        <v>161</v>
      </c>
      <c r="Q55" s="9">
        <v>62055.65</v>
      </c>
      <c r="R55" s="5" t="s">
        <v>84</v>
      </c>
      <c r="S55" s="3">
        <v>1</v>
      </c>
    </row>
    <row r="56" spans="1:19" x14ac:dyDescent="0.25">
      <c r="A56" s="3">
        <v>21110810</v>
      </c>
      <c r="B56" s="3" t="s">
        <v>162</v>
      </c>
      <c r="C56" s="3" t="s">
        <v>15</v>
      </c>
      <c r="D56" s="3">
        <v>4804</v>
      </c>
      <c r="E56" s="3" t="s">
        <v>154</v>
      </c>
      <c r="F56" s="3" t="s">
        <v>154</v>
      </c>
      <c r="G56" s="4">
        <v>44264</v>
      </c>
      <c r="H56" s="4">
        <v>46203</v>
      </c>
      <c r="I56" s="3" t="s">
        <v>17</v>
      </c>
      <c r="J56" s="3" t="s">
        <v>18</v>
      </c>
      <c r="K56" s="3">
        <v>10</v>
      </c>
      <c r="L56" s="3">
        <f t="shared" si="0"/>
        <v>12</v>
      </c>
      <c r="M56" s="3">
        <v>11</v>
      </c>
      <c r="N56" s="3">
        <f t="shared" si="1"/>
        <v>1</v>
      </c>
      <c r="O56" s="3" t="s">
        <v>19</v>
      </c>
      <c r="P56" s="13" t="s">
        <v>163</v>
      </c>
      <c r="Q56" s="9">
        <v>144371.51</v>
      </c>
      <c r="R56" s="5" t="s">
        <v>84</v>
      </c>
      <c r="S56" s="3">
        <v>1</v>
      </c>
    </row>
    <row r="57" spans="1:19" x14ac:dyDescent="0.25">
      <c r="A57" s="3">
        <v>20103647</v>
      </c>
      <c r="B57" s="3" t="s">
        <v>164</v>
      </c>
      <c r="C57" s="3" t="s">
        <v>38</v>
      </c>
      <c r="D57" s="3">
        <v>4606</v>
      </c>
      <c r="E57" s="3" t="s">
        <v>45</v>
      </c>
      <c r="F57" s="3" t="s">
        <v>45</v>
      </c>
      <c r="G57" s="4">
        <v>43874</v>
      </c>
      <c r="H57" s="4">
        <v>45335</v>
      </c>
      <c r="I57" s="3" t="s">
        <v>49</v>
      </c>
      <c r="J57" s="3" t="s">
        <v>18</v>
      </c>
      <c r="K57" s="3">
        <v>8</v>
      </c>
      <c r="L57" s="3">
        <f t="shared" si="0"/>
        <v>10</v>
      </c>
      <c r="M57" s="3">
        <v>13</v>
      </c>
      <c r="N57" s="3">
        <f t="shared" si="1"/>
        <v>-3</v>
      </c>
      <c r="O57" s="3" t="s">
        <v>19</v>
      </c>
      <c r="P57" s="13" t="s">
        <v>165</v>
      </c>
      <c r="Q57" s="9">
        <v>140720.26</v>
      </c>
      <c r="R57" s="5" t="s">
        <v>84</v>
      </c>
      <c r="S57" s="3">
        <v>1</v>
      </c>
    </row>
    <row r="58" spans="1:19" x14ac:dyDescent="0.25">
      <c r="A58" s="3">
        <v>18104254</v>
      </c>
      <c r="B58" s="3" t="s">
        <v>166</v>
      </c>
      <c r="C58" s="3" t="s">
        <v>15</v>
      </c>
      <c r="D58" s="3">
        <v>3510</v>
      </c>
      <c r="E58" s="3" t="s">
        <v>167</v>
      </c>
      <c r="F58" s="3" t="s">
        <v>167</v>
      </c>
      <c r="G58" s="4">
        <v>43168</v>
      </c>
      <c r="H58" s="4">
        <v>46178</v>
      </c>
      <c r="I58" s="3" t="s">
        <v>155</v>
      </c>
      <c r="J58" s="3" t="s">
        <v>18</v>
      </c>
      <c r="K58" s="3">
        <v>9</v>
      </c>
      <c r="L58" s="3">
        <f t="shared" si="0"/>
        <v>11</v>
      </c>
      <c r="M58" s="3">
        <v>17</v>
      </c>
      <c r="N58" s="3">
        <f t="shared" si="1"/>
        <v>-6</v>
      </c>
      <c r="O58" s="3" t="s">
        <v>19</v>
      </c>
      <c r="P58" s="13" t="s">
        <v>168</v>
      </c>
      <c r="Q58" s="9">
        <v>180177.84</v>
      </c>
      <c r="R58" s="5" t="s">
        <v>84</v>
      </c>
      <c r="S58" s="3">
        <v>1</v>
      </c>
    </row>
    <row r="59" spans="1:19" x14ac:dyDescent="0.25">
      <c r="A59" s="3">
        <v>22280420</v>
      </c>
      <c r="B59" s="3" t="s">
        <v>169</v>
      </c>
      <c r="C59" s="3" t="s">
        <v>15</v>
      </c>
      <c r="D59" s="3">
        <v>9201</v>
      </c>
      <c r="E59" s="3" t="s">
        <v>146</v>
      </c>
      <c r="F59" s="3" t="s">
        <v>420</v>
      </c>
      <c r="G59" s="4">
        <v>44788</v>
      </c>
      <c r="H59" s="4">
        <v>46204</v>
      </c>
      <c r="I59" s="3" t="s">
        <v>29</v>
      </c>
      <c r="J59" s="3" t="s">
        <v>18</v>
      </c>
      <c r="K59" s="3">
        <v>10</v>
      </c>
      <c r="L59" s="3">
        <f t="shared" si="0"/>
        <v>12</v>
      </c>
      <c r="M59" s="3">
        <v>8</v>
      </c>
      <c r="N59" s="3">
        <f t="shared" si="1"/>
        <v>4</v>
      </c>
      <c r="O59" s="3" t="s">
        <v>19</v>
      </c>
      <c r="P59" s="13" t="s">
        <v>170</v>
      </c>
      <c r="Q59" s="9">
        <v>73762.94</v>
      </c>
      <c r="R59" s="5" t="s">
        <v>84</v>
      </c>
      <c r="S59" s="3">
        <v>1</v>
      </c>
    </row>
    <row r="60" spans="1:19" x14ac:dyDescent="0.25">
      <c r="A60" s="3">
        <v>21201339</v>
      </c>
      <c r="B60" s="3" t="s">
        <v>171</v>
      </c>
      <c r="C60" s="3" t="s">
        <v>15</v>
      </c>
      <c r="D60" s="3">
        <v>9203</v>
      </c>
      <c r="E60" s="3" t="s">
        <v>66</v>
      </c>
      <c r="F60" s="3" t="s">
        <v>420</v>
      </c>
      <c r="G60" s="4">
        <v>44405</v>
      </c>
      <c r="H60" s="4">
        <v>46231</v>
      </c>
      <c r="I60" s="3" t="s">
        <v>23</v>
      </c>
      <c r="J60" s="3" t="s">
        <v>18</v>
      </c>
      <c r="K60" s="3">
        <v>10</v>
      </c>
      <c r="L60" s="3">
        <f t="shared" si="0"/>
        <v>12</v>
      </c>
      <c r="M60" s="3">
        <v>10</v>
      </c>
      <c r="N60" s="3">
        <f t="shared" si="1"/>
        <v>2</v>
      </c>
      <c r="O60" s="3" t="s">
        <v>19</v>
      </c>
      <c r="P60" s="13" t="s">
        <v>170</v>
      </c>
      <c r="Q60" s="9">
        <v>95548.1</v>
      </c>
      <c r="R60" s="5" t="s">
        <v>84</v>
      </c>
      <c r="S60" s="3">
        <v>1</v>
      </c>
    </row>
    <row r="61" spans="1:19" x14ac:dyDescent="0.25">
      <c r="A61" s="3">
        <v>23280014</v>
      </c>
      <c r="B61" s="3" t="s">
        <v>172</v>
      </c>
      <c r="C61" s="3" t="s">
        <v>15</v>
      </c>
      <c r="D61" s="3" t="s">
        <v>173</v>
      </c>
      <c r="E61" s="3" t="s">
        <v>174</v>
      </c>
      <c r="F61" s="3" t="s">
        <v>412</v>
      </c>
      <c r="G61" s="4">
        <v>45135</v>
      </c>
      <c r="H61" s="4">
        <v>46204</v>
      </c>
      <c r="I61" s="3" t="s">
        <v>80</v>
      </c>
      <c r="J61" s="3" t="s">
        <v>18</v>
      </c>
      <c r="K61" s="3">
        <v>8</v>
      </c>
      <c r="L61" s="3">
        <f t="shared" si="0"/>
        <v>10</v>
      </c>
      <c r="M61" s="3">
        <v>6</v>
      </c>
      <c r="N61" s="3">
        <f t="shared" si="1"/>
        <v>4</v>
      </c>
      <c r="O61" s="3" t="s">
        <v>19</v>
      </c>
      <c r="P61" s="13">
        <v>0.84</v>
      </c>
      <c r="Q61" s="9">
        <v>54346.63</v>
      </c>
      <c r="R61" s="5" t="s">
        <v>84</v>
      </c>
      <c r="S61" s="3">
        <v>1</v>
      </c>
    </row>
    <row r="62" spans="1:19" x14ac:dyDescent="0.25">
      <c r="A62" s="3">
        <v>22107446</v>
      </c>
      <c r="B62" s="3" t="s">
        <v>175</v>
      </c>
      <c r="C62" s="3" t="s">
        <v>15</v>
      </c>
      <c r="D62" s="3">
        <v>9702</v>
      </c>
      <c r="E62" s="3" t="s">
        <v>176</v>
      </c>
      <c r="F62" s="3" t="s">
        <v>250</v>
      </c>
      <c r="G62" s="4">
        <v>44600</v>
      </c>
      <c r="H62" s="4">
        <v>46023</v>
      </c>
      <c r="I62" s="3" t="s">
        <v>56</v>
      </c>
      <c r="J62" s="3" t="s">
        <v>18</v>
      </c>
      <c r="K62" s="3">
        <v>8</v>
      </c>
      <c r="L62" s="3">
        <f t="shared" si="0"/>
        <v>10</v>
      </c>
      <c r="M62" s="3">
        <v>9</v>
      </c>
      <c r="N62" s="3">
        <f t="shared" si="1"/>
        <v>1</v>
      </c>
      <c r="O62" s="3" t="s">
        <v>19</v>
      </c>
      <c r="P62" s="13" t="s">
        <v>177</v>
      </c>
      <c r="Q62" s="9">
        <v>89414.98</v>
      </c>
      <c r="R62" s="5" t="s">
        <v>84</v>
      </c>
      <c r="S62" s="3">
        <v>1</v>
      </c>
    </row>
    <row r="63" spans="1:19" x14ac:dyDescent="0.25">
      <c r="A63" s="3">
        <v>21100712</v>
      </c>
      <c r="B63" s="3" t="s">
        <v>178</v>
      </c>
      <c r="C63" s="3" t="s">
        <v>15</v>
      </c>
      <c r="D63" s="3">
        <v>9701</v>
      </c>
      <c r="E63" s="3" t="s">
        <v>55</v>
      </c>
      <c r="F63" s="3" t="s">
        <v>250</v>
      </c>
      <c r="G63" s="4">
        <v>44970</v>
      </c>
      <c r="H63" s="4">
        <v>46204</v>
      </c>
      <c r="I63" s="3" t="s">
        <v>70</v>
      </c>
      <c r="J63" s="3" t="s">
        <v>18</v>
      </c>
      <c r="K63" s="3">
        <v>8</v>
      </c>
      <c r="L63" s="3">
        <f t="shared" si="0"/>
        <v>10</v>
      </c>
      <c r="M63" s="3">
        <v>7</v>
      </c>
      <c r="N63" s="3">
        <f t="shared" si="1"/>
        <v>3</v>
      </c>
      <c r="O63" s="3" t="s">
        <v>19</v>
      </c>
      <c r="P63" s="13" t="s">
        <v>179</v>
      </c>
      <c r="Q63" s="9">
        <v>71478.03</v>
      </c>
      <c r="R63" s="5" t="s">
        <v>84</v>
      </c>
      <c r="S63" s="3">
        <v>1</v>
      </c>
    </row>
    <row r="64" spans="1:19" x14ac:dyDescent="0.25">
      <c r="A64" s="3">
        <v>22103549</v>
      </c>
      <c r="B64" s="3" t="s">
        <v>180</v>
      </c>
      <c r="C64" s="3" t="s">
        <v>15</v>
      </c>
      <c r="D64" s="3">
        <v>9606</v>
      </c>
      <c r="E64" s="3" t="s">
        <v>181</v>
      </c>
      <c r="F64" s="3" t="s">
        <v>433</v>
      </c>
      <c r="G64" s="4">
        <v>44645</v>
      </c>
      <c r="H64" s="4">
        <v>46023</v>
      </c>
      <c r="I64" s="3" t="s">
        <v>56</v>
      </c>
      <c r="J64" s="3" t="s">
        <v>18</v>
      </c>
      <c r="K64" s="3">
        <v>8</v>
      </c>
      <c r="L64" s="3">
        <f t="shared" si="0"/>
        <v>10</v>
      </c>
      <c r="M64" s="3">
        <v>9</v>
      </c>
      <c r="N64" s="3">
        <f t="shared" si="1"/>
        <v>1</v>
      </c>
      <c r="O64" s="3" t="s">
        <v>19</v>
      </c>
      <c r="P64" s="13" t="s">
        <v>182</v>
      </c>
      <c r="Q64" s="9">
        <v>54613.36</v>
      </c>
      <c r="R64" s="5" t="s">
        <v>84</v>
      </c>
      <c r="S64" s="3">
        <v>1</v>
      </c>
    </row>
    <row r="65" spans="1:19" x14ac:dyDescent="0.25">
      <c r="A65" s="3">
        <v>22103837</v>
      </c>
      <c r="B65" s="3" t="s">
        <v>183</v>
      </c>
      <c r="C65" s="3" t="s">
        <v>38</v>
      </c>
      <c r="D65" s="3" t="s">
        <v>184</v>
      </c>
      <c r="E65" s="3" t="s">
        <v>185</v>
      </c>
      <c r="F65" s="3" t="s">
        <v>185</v>
      </c>
      <c r="G65" s="4">
        <v>44567</v>
      </c>
      <c r="H65" s="4">
        <v>46028</v>
      </c>
      <c r="I65" s="3" t="s">
        <v>56</v>
      </c>
      <c r="J65" s="3" t="s">
        <v>18</v>
      </c>
      <c r="K65" s="3">
        <v>8</v>
      </c>
      <c r="L65" s="3">
        <f t="shared" si="0"/>
        <v>10</v>
      </c>
      <c r="M65" s="3">
        <v>9</v>
      </c>
      <c r="N65" s="3">
        <f t="shared" si="1"/>
        <v>1</v>
      </c>
      <c r="O65" s="3" t="s">
        <v>19</v>
      </c>
      <c r="P65" s="13">
        <v>0.49</v>
      </c>
      <c r="Q65" s="9">
        <v>94410.33</v>
      </c>
      <c r="R65" s="5" t="s">
        <v>186</v>
      </c>
      <c r="S65" s="3">
        <v>2</v>
      </c>
    </row>
    <row r="66" spans="1:19" x14ac:dyDescent="0.25">
      <c r="A66" s="3">
        <v>21200430</v>
      </c>
      <c r="B66" s="3" t="s">
        <v>187</v>
      </c>
      <c r="C66" s="3" t="s">
        <v>15</v>
      </c>
      <c r="D66" s="3" t="s">
        <v>188</v>
      </c>
      <c r="E66" s="3" t="s">
        <v>189</v>
      </c>
      <c r="F66" s="3" t="s">
        <v>189</v>
      </c>
      <c r="G66" s="4">
        <v>44390</v>
      </c>
      <c r="H66" s="4">
        <v>46216</v>
      </c>
      <c r="I66" s="3" t="s">
        <v>23</v>
      </c>
      <c r="J66" s="3" t="s">
        <v>18</v>
      </c>
      <c r="K66" s="3">
        <v>10</v>
      </c>
      <c r="L66" s="3">
        <f t="shared" si="0"/>
        <v>12</v>
      </c>
      <c r="M66" s="3">
        <v>10</v>
      </c>
      <c r="N66" s="3">
        <f t="shared" si="1"/>
        <v>2</v>
      </c>
      <c r="O66" s="3" t="s">
        <v>19</v>
      </c>
      <c r="P66" s="13" t="s">
        <v>190</v>
      </c>
      <c r="Q66" s="9">
        <v>92927.94</v>
      </c>
      <c r="R66" s="5" t="s">
        <v>186</v>
      </c>
      <c r="S66" s="3">
        <v>2</v>
      </c>
    </row>
    <row r="67" spans="1:19" x14ac:dyDescent="0.25">
      <c r="A67" s="3">
        <v>22200629</v>
      </c>
      <c r="B67" s="3" t="s">
        <v>191</v>
      </c>
      <c r="C67" s="3" t="s">
        <v>15</v>
      </c>
      <c r="D67" s="3" t="s">
        <v>59</v>
      </c>
      <c r="E67" s="3" t="s">
        <v>48</v>
      </c>
      <c r="F67" s="3" t="s">
        <v>48</v>
      </c>
      <c r="G67" s="4">
        <v>44755</v>
      </c>
      <c r="H67" s="4">
        <v>46204</v>
      </c>
      <c r="I67" s="3" t="s">
        <v>29</v>
      </c>
      <c r="J67" s="3" t="s">
        <v>18</v>
      </c>
      <c r="K67" s="3">
        <v>8</v>
      </c>
      <c r="L67" s="3">
        <f t="shared" ref="L67:L130" si="2">K67+2</f>
        <v>10</v>
      </c>
      <c r="M67" s="3">
        <v>8</v>
      </c>
      <c r="N67" s="3">
        <f t="shared" ref="N67:N130" si="3">L67-M67</f>
        <v>2</v>
      </c>
      <c r="O67" s="3" t="s">
        <v>19</v>
      </c>
      <c r="P67" s="13" t="s">
        <v>192</v>
      </c>
      <c r="Q67" s="9">
        <v>81723.679999999993</v>
      </c>
      <c r="R67" s="5" t="s">
        <v>186</v>
      </c>
      <c r="S67" s="3">
        <v>2</v>
      </c>
    </row>
    <row r="68" spans="1:19" x14ac:dyDescent="0.25">
      <c r="A68" s="3">
        <v>22106302</v>
      </c>
      <c r="B68" s="3" t="s">
        <v>193</v>
      </c>
      <c r="C68" s="3" t="s">
        <v>38</v>
      </c>
      <c r="D68" s="3" t="s">
        <v>44</v>
      </c>
      <c r="E68" s="3" t="s">
        <v>45</v>
      </c>
      <c r="F68" s="3" t="s">
        <v>45</v>
      </c>
      <c r="G68" s="4">
        <v>44567</v>
      </c>
      <c r="H68" s="4">
        <v>46028</v>
      </c>
      <c r="I68" s="3" t="s">
        <v>56</v>
      </c>
      <c r="J68" s="3" t="s">
        <v>18</v>
      </c>
      <c r="K68" s="3">
        <v>8</v>
      </c>
      <c r="L68" s="3">
        <f t="shared" si="2"/>
        <v>10</v>
      </c>
      <c r="M68" s="3">
        <v>9</v>
      </c>
      <c r="N68" s="3">
        <f t="shared" si="3"/>
        <v>1</v>
      </c>
      <c r="O68" s="3" t="s">
        <v>19</v>
      </c>
      <c r="P68" s="13" t="s">
        <v>194</v>
      </c>
      <c r="Q68" s="9">
        <v>99752.48</v>
      </c>
      <c r="R68" s="5" t="s">
        <v>186</v>
      </c>
      <c r="S68" s="3">
        <v>2</v>
      </c>
    </row>
    <row r="69" spans="1:19" x14ac:dyDescent="0.25">
      <c r="A69" s="3">
        <v>20102620</v>
      </c>
      <c r="B69" s="3" t="s">
        <v>195</v>
      </c>
      <c r="C69" s="3" t="s">
        <v>38</v>
      </c>
      <c r="D69" s="3">
        <v>3615</v>
      </c>
      <c r="E69" s="3" t="s">
        <v>196</v>
      </c>
      <c r="F69" s="3" t="s">
        <v>196</v>
      </c>
      <c r="G69" s="4">
        <v>43880</v>
      </c>
      <c r="H69" s="4">
        <v>45707</v>
      </c>
      <c r="I69" s="3" t="s">
        <v>49</v>
      </c>
      <c r="J69" s="3" t="s">
        <v>18</v>
      </c>
      <c r="K69" s="3">
        <v>10</v>
      </c>
      <c r="L69" s="3">
        <f t="shared" si="2"/>
        <v>12</v>
      </c>
      <c r="M69" s="3">
        <v>13</v>
      </c>
      <c r="N69" s="3">
        <f t="shared" si="3"/>
        <v>-1</v>
      </c>
      <c r="O69" s="3" t="s">
        <v>19</v>
      </c>
      <c r="P69" s="13" t="s">
        <v>197</v>
      </c>
      <c r="Q69" s="9">
        <v>198352.19</v>
      </c>
      <c r="R69" s="5" t="s">
        <v>186</v>
      </c>
      <c r="S69" s="3">
        <v>2</v>
      </c>
    </row>
    <row r="70" spans="1:19" x14ac:dyDescent="0.25">
      <c r="A70" s="3">
        <v>21100363</v>
      </c>
      <c r="B70" s="3" t="s">
        <v>198</v>
      </c>
      <c r="C70" s="3" t="s">
        <v>15</v>
      </c>
      <c r="D70" s="3" t="s">
        <v>44</v>
      </c>
      <c r="E70" s="3" t="s">
        <v>45</v>
      </c>
      <c r="F70" s="3" t="s">
        <v>45</v>
      </c>
      <c r="G70" s="4">
        <v>44428</v>
      </c>
      <c r="H70" s="4">
        <v>46178</v>
      </c>
      <c r="I70" s="3" t="s">
        <v>23</v>
      </c>
      <c r="J70" s="3" t="s">
        <v>18</v>
      </c>
      <c r="K70" s="3">
        <v>8</v>
      </c>
      <c r="L70" s="3">
        <f t="shared" si="2"/>
        <v>10</v>
      </c>
      <c r="M70" s="3">
        <v>10</v>
      </c>
      <c r="N70" s="3">
        <f t="shared" si="3"/>
        <v>0</v>
      </c>
      <c r="O70" s="3" t="s">
        <v>19</v>
      </c>
      <c r="P70" s="13" t="s">
        <v>199</v>
      </c>
      <c r="Q70" s="9">
        <v>107808.77</v>
      </c>
      <c r="R70" s="5" t="s">
        <v>186</v>
      </c>
      <c r="S70" s="3">
        <v>2</v>
      </c>
    </row>
    <row r="71" spans="1:19" x14ac:dyDescent="0.25">
      <c r="A71" s="3">
        <v>21110500</v>
      </c>
      <c r="B71" s="3" t="s">
        <v>200</v>
      </c>
      <c r="C71" s="3" t="s">
        <v>15</v>
      </c>
      <c r="D71" s="3">
        <v>9602</v>
      </c>
      <c r="E71" s="3" t="s">
        <v>201</v>
      </c>
      <c r="F71" s="3" t="s">
        <v>201</v>
      </c>
      <c r="G71" s="4">
        <v>45135</v>
      </c>
      <c r="H71" s="4">
        <v>46178</v>
      </c>
      <c r="I71" s="3" t="s">
        <v>80</v>
      </c>
      <c r="J71" s="3" t="s">
        <v>18</v>
      </c>
      <c r="K71" s="3">
        <v>8</v>
      </c>
      <c r="L71" s="3">
        <f t="shared" si="2"/>
        <v>10</v>
      </c>
      <c r="M71" s="3">
        <v>6</v>
      </c>
      <c r="N71" s="3">
        <f t="shared" si="3"/>
        <v>4</v>
      </c>
      <c r="O71" s="3" t="s">
        <v>19</v>
      </c>
      <c r="P71" s="13" t="s">
        <v>202</v>
      </c>
      <c r="Q71" s="9">
        <v>57380.18</v>
      </c>
      <c r="R71" s="5" t="s">
        <v>186</v>
      </c>
      <c r="S71" s="3">
        <v>2</v>
      </c>
    </row>
    <row r="72" spans="1:19" x14ac:dyDescent="0.25">
      <c r="A72" s="3">
        <v>24106266</v>
      </c>
      <c r="B72" s="3" t="s">
        <v>203</v>
      </c>
      <c r="C72" s="3" t="s">
        <v>15</v>
      </c>
      <c r="D72" s="3">
        <v>9710</v>
      </c>
      <c r="E72" s="3" t="s">
        <v>32</v>
      </c>
      <c r="F72" s="3" t="s">
        <v>427</v>
      </c>
      <c r="G72" s="4">
        <v>45330</v>
      </c>
      <c r="H72" s="4">
        <v>46204</v>
      </c>
      <c r="I72" s="3" t="s">
        <v>26</v>
      </c>
      <c r="J72" s="3" t="s">
        <v>18</v>
      </c>
      <c r="K72" s="3">
        <v>5</v>
      </c>
      <c r="L72" s="3">
        <f t="shared" si="2"/>
        <v>7</v>
      </c>
      <c r="M72" s="3">
        <v>5</v>
      </c>
      <c r="N72" s="3">
        <f t="shared" si="3"/>
        <v>2</v>
      </c>
      <c r="O72" s="3" t="s">
        <v>19</v>
      </c>
      <c r="P72" s="13" t="s">
        <v>204</v>
      </c>
      <c r="Q72" s="9">
        <v>52035.64</v>
      </c>
      <c r="R72" s="5" t="s">
        <v>186</v>
      </c>
      <c r="S72" s="3">
        <v>2</v>
      </c>
    </row>
    <row r="73" spans="1:19" x14ac:dyDescent="0.25">
      <c r="A73" s="3">
        <v>22106631</v>
      </c>
      <c r="B73" s="3" t="s">
        <v>205</v>
      </c>
      <c r="C73" s="3" t="s">
        <v>15</v>
      </c>
      <c r="D73" s="3" t="s">
        <v>206</v>
      </c>
      <c r="E73" s="3" t="s">
        <v>207</v>
      </c>
      <c r="F73" s="3" t="s">
        <v>431</v>
      </c>
      <c r="G73" s="4">
        <v>44571</v>
      </c>
      <c r="H73" s="4">
        <v>46032</v>
      </c>
      <c r="I73" s="3" t="s">
        <v>56</v>
      </c>
      <c r="J73" s="3" t="s">
        <v>18</v>
      </c>
      <c r="K73" s="3">
        <v>8</v>
      </c>
      <c r="L73" s="3">
        <f t="shared" si="2"/>
        <v>10</v>
      </c>
      <c r="M73" s="3">
        <v>9</v>
      </c>
      <c r="N73" s="3">
        <f t="shared" si="3"/>
        <v>1</v>
      </c>
      <c r="O73" s="3" t="s">
        <v>19</v>
      </c>
      <c r="P73" s="14">
        <v>0.65</v>
      </c>
      <c r="Q73" s="10">
        <v>86415.97</v>
      </c>
      <c r="R73" s="5" t="s">
        <v>186</v>
      </c>
      <c r="S73" s="3">
        <v>2</v>
      </c>
    </row>
    <row r="74" spans="1:19" x14ac:dyDescent="0.25">
      <c r="A74" s="3">
        <v>22103922</v>
      </c>
      <c r="B74" s="3" t="s">
        <v>208</v>
      </c>
      <c r="C74" s="3" t="s">
        <v>38</v>
      </c>
      <c r="D74" s="3" t="s">
        <v>40</v>
      </c>
      <c r="E74" s="3" t="s">
        <v>41</v>
      </c>
      <c r="F74" s="3" t="s">
        <v>415</v>
      </c>
      <c r="G74" s="4">
        <v>44585</v>
      </c>
      <c r="H74" s="4">
        <v>46046</v>
      </c>
      <c r="I74" s="3" t="s">
        <v>56</v>
      </c>
      <c r="J74" s="3" t="s">
        <v>18</v>
      </c>
      <c r="K74" s="3">
        <v>8</v>
      </c>
      <c r="L74" s="3">
        <f t="shared" si="2"/>
        <v>10</v>
      </c>
      <c r="M74" s="3">
        <v>9</v>
      </c>
      <c r="N74" s="3">
        <f t="shared" si="3"/>
        <v>1</v>
      </c>
      <c r="O74" s="3" t="s">
        <v>19</v>
      </c>
      <c r="P74" s="13" t="s">
        <v>209</v>
      </c>
      <c r="Q74" s="9">
        <v>124732.76</v>
      </c>
      <c r="R74" s="5" t="s">
        <v>186</v>
      </c>
      <c r="S74" s="3">
        <v>2</v>
      </c>
    </row>
    <row r="75" spans="1:19" x14ac:dyDescent="0.25">
      <c r="A75" s="3">
        <v>20107317</v>
      </c>
      <c r="B75" s="3" t="s">
        <v>210</v>
      </c>
      <c r="C75" s="3" t="s">
        <v>38</v>
      </c>
      <c r="D75" s="3">
        <v>9703</v>
      </c>
      <c r="E75" s="3" t="s">
        <v>211</v>
      </c>
      <c r="F75" s="3" t="s">
        <v>429</v>
      </c>
      <c r="G75" s="4">
        <v>43880</v>
      </c>
      <c r="H75" s="4">
        <v>45341</v>
      </c>
      <c r="I75" s="3" t="s">
        <v>49</v>
      </c>
      <c r="J75" s="3" t="s">
        <v>18</v>
      </c>
      <c r="K75" s="3">
        <v>8</v>
      </c>
      <c r="L75" s="3">
        <f t="shared" si="2"/>
        <v>10</v>
      </c>
      <c r="M75" s="3">
        <v>13</v>
      </c>
      <c r="N75" s="3">
        <f t="shared" si="3"/>
        <v>-3</v>
      </c>
      <c r="O75" s="3" t="s">
        <v>19</v>
      </c>
      <c r="P75" s="13" t="s">
        <v>212</v>
      </c>
      <c r="Q75" s="9">
        <v>121311.62</v>
      </c>
      <c r="R75" s="5" t="s">
        <v>186</v>
      </c>
      <c r="S75" s="3">
        <v>2</v>
      </c>
    </row>
    <row r="76" spans="1:19" x14ac:dyDescent="0.25">
      <c r="A76" s="3">
        <v>22103353</v>
      </c>
      <c r="B76" s="3" t="s">
        <v>213</v>
      </c>
      <c r="C76" s="3" t="s">
        <v>15</v>
      </c>
      <c r="D76" s="3">
        <v>9605</v>
      </c>
      <c r="E76" s="3" t="s">
        <v>214</v>
      </c>
      <c r="F76" s="3" t="s">
        <v>416</v>
      </c>
      <c r="G76" s="4">
        <v>44671</v>
      </c>
      <c r="H76" s="4">
        <v>46023</v>
      </c>
      <c r="I76" s="3" t="s">
        <v>56</v>
      </c>
      <c r="J76" s="3" t="s">
        <v>18</v>
      </c>
      <c r="K76" s="3">
        <v>8</v>
      </c>
      <c r="L76" s="3">
        <f t="shared" si="2"/>
        <v>10</v>
      </c>
      <c r="M76" s="3">
        <v>9</v>
      </c>
      <c r="N76" s="3">
        <f t="shared" si="3"/>
        <v>1</v>
      </c>
      <c r="O76" s="3" t="s">
        <v>19</v>
      </c>
      <c r="P76" s="13" t="s">
        <v>215</v>
      </c>
      <c r="Q76" s="9">
        <v>53901.67</v>
      </c>
      <c r="R76" s="5" t="s">
        <v>186</v>
      </c>
      <c r="S76" s="3">
        <v>2</v>
      </c>
    </row>
    <row r="77" spans="1:19" x14ac:dyDescent="0.25">
      <c r="A77" s="3">
        <v>23180570</v>
      </c>
      <c r="B77" s="3" t="s">
        <v>216</v>
      </c>
      <c r="C77" s="3" t="s">
        <v>15</v>
      </c>
      <c r="D77" s="3">
        <v>9705</v>
      </c>
      <c r="E77" s="3" t="s">
        <v>16</v>
      </c>
      <c r="F77" s="3" t="s">
        <v>74</v>
      </c>
      <c r="G77" s="4">
        <v>45033</v>
      </c>
      <c r="H77" s="4">
        <v>46204</v>
      </c>
      <c r="I77" s="3" t="s">
        <v>70</v>
      </c>
      <c r="J77" s="3" t="s">
        <v>18</v>
      </c>
      <c r="K77" s="3">
        <v>8</v>
      </c>
      <c r="L77" s="3">
        <f t="shared" si="2"/>
        <v>10</v>
      </c>
      <c r="M77" s="3">
        <v>7</v>
      </c>
      <c r="N77" s="3">
        <f t="shared" si="3"/>
        <v>3</v>
      </c>
      <c r="O77" s="3" t="s">
        <v>19</v>
      </c>
      <c r="P77" s="13" t="s">
        <v>217</v>
      </c>
      <c r="Q77" s="9">
        <v>74985.210000000006</v>
      </c>
      <c r="R77" s="5" t="s">
        <v>186</v>
      </c>
      <c r="S77" s="3">
        <v>2</v>
      </c>
    </row>
    <row r="78" spans="1:19" x14ac:dyDescent="0.25">
      <c r="A78" s="3">
        <v>23210000</v>
      </c>
      <c r="B78" s="3" t="s">
        <v>218</v>
      </c>
      <c r="C78" s="3" t="s">
        <v>15</v>
      </c>
      <c r="D78" s="3" t="s">
        <v>219</v>
      </c>
      <c r="E78" s="3" t="s">
        <v>220</v>
      </c>
      <c r="F78" s="3" t="s">
        <v>220</v>
      </c>
      <c r="G78" s="4">
        <v>45155</v>
      </c>
      <c r="H78" s="4">
        <v>46204</v>
      </c>
      <c r="I78" s="3" t="s">
        <v>80</v>
      </c>
      <c r="J78" s="3" t="s">
        <v>18</v>
      </c>
      <c r="K78" s="3">
        <v>10</v>
      </c>
      <c r="L78" s="3">
        <f t="shared" si="2"/>
        <v>12</v>
      </c>
      <c r="M78" s="3">
        <v>6</v>
      </c>
      <c r="N78" s="3">
        <f t="shared" si="3"/>
        <v>6</v>
      </c>
      <c r="O78" s="3" t="s">
        <v>19</v>
      </c>
      <c r="P78" s="13" t="s">
        <v>221</v>
      </c>
      <c r="Q78" s="9">
        <v>48851.15</v>
      </c>
      <c r="R78" s="5" t="s">
        <v>186</v>
      </c>
      <c r="S78" s="3">
        <v>2</v>
      </c>
    </row>
    <row r="79" spans="1:19" x14ac:dyDescent="0.25">
      <c r="A79" s="3">
        <v>21280501</v>
      </c>
      <c r="B79" s="3" t="s">
        <v>222</v>
      </c>
      <c r="C79" s="3" t="s">
        <v>15</v>
      </c>
      <c r="D79" s="3">
        <v>9609</v>
      </c>
      <c r="E79" s="3" t="s">
        <v>223</v>
      </c>
      <c r="F79" s="3" t="s">
        <v>223</v>
      </c>
      <c r="G79" s="4">
        <v>44417</v>
      </c>
      <c r="H79" s="4">
        <v>46243</v>
      </c>
      <c r="I79" s="3" t="s">
        <v>23</v>
      </c>
      <c r="J79" s="3" t="s">
        <v>18</v>
      </c>
      <c r="K79" s="3">
        <v>10</v>
      </c>
      <c r="L79" s="3">
        <f t="shared" si="2"/>
        <v>12</v>
      </c>
      <c r="M79" s="3">
        <v>10</v>
      </c>
      <c r="N79" s="3">
        <f t="shared" si="3"/>
        <v>2</v>
      </c>
      <c r="O79" s="3" t="s">
        <v>19</v>
      </c>
      <c r="P79" s="13" t="s">
        <v>224</v>
      </c>
      <c r="Q79" s="9">
        <v>161588.54999999999</v>
      </c>
      <c r="R79" s="5" t="s">
        <v>186</v>
      </c>
      <c r="S79" s="3">
        <v>2</v>
      </c>
    </row>
    <row r="80" spans="1:19" x14ac:dyDescent="0.25">
      <c r="A80" s="3">
        <v>23106553</v>
      </c>
      <c r="B80" s="3" t="s">
        <v>225</v>
      </c>
      <c r="C80" s="3" t="s">
        <v>15</v>
      </c>
      <c r="D80" s="3" t="s">
        <v>132</v>
      </c>
      <c r="E80" s="3" t="s">
        <v>133</v>
      </c>
      <c r="F80" s="3" t="s">
        <v>133</v>
      </c>
      <c r="G80" s="4">
        <v>44993</v>
      </c>
      <c r="H80" s="4">
        <v>46204</v>
      </c>
      <c r="I80" s="3" t="s">
        <v>70</v>
      </c>
      <c r="J80" s="3" t="s">
        <v>18</v>
      </c>
      <c r="K80" s="3">
        <v>7</v>
      </c>
      <c r="L80" s="3">
        <f t="shared" si="2"/>
        <v>9</v>
      </c>
      <c r="M80" s="3">
        <v>7</v>
      </c>
      <c r="N80" s="3">
        <f t="shared" si="3"/>
        <v>2</v>
      </c>
      <c r="O80" s="3" t="s">
        <v>19</v>
      </c>
      <c r="P80" s="13" t="s">
        <v>226</v>
      </c>
      <c r="Q80" s="9">
        <v>97661.06</v>
      </c>
      <c r="R80" s="5" t="s">
        <v>186</v>
      </c>
      <c r="S80" s="3">
        <v>2</v>
      </c>
    </row>
    <row r="81" spans="1:19" x14ac:dyDescent="0.25">
      <c r="A81" s="3">
        <v>21104557</v>
      </c>
      <c r="B81" s="3" t="s">
        <v>227</v>
      </c>
      <c r="C81" s="3" t="s">
        <v>15</v>
      </c>
      <c r="D81" s="3">
        <v>9609</v>
      </c>
      <c r="E81" s="3" t="s">
        <v>223</v>
      </c>
      <c r="F81" s="3" t="s">
        <v>223</v>
      </c>
      <c r="G81" s="4">
        <v>44245</v>
      </c>
      <c r="H81" s="4">
        <v>46071</v>
      </c>
      <c r="I81" s="3" t="s">
        <v>17</v>
      </c>
      <c r="J81" s="3" t="s">
        <v>18</v>
      </c>
      <c r="K81" s="3">
        <v>10</v>
      </c>
      <c r="L81" s="3">
        <f t="shared" si="2"/>
        <v>12</v>
      </c>
      <c r="M81" s="3">
        <v>11</v>
      </c>
      <c r="N81" s="3">
        <f t="shared" si="3"/>
        <v>1</v>
      </c>
      <c r="O81" s="3" t="s">
        <v>19</v>
      </c>
      <c r="P81" s="13" t="s">
        <v>228</v>
      </c>
      <c r="Q81" s="9">
        <v>189812.72</v>
      </c>
      <c r="R81" s="5" t="s">
        <v>186</v>
      </c>
      <c r="S81" s="3">
        <v>2</v>
      </c>
    </row>
    <row r="82" spans="1:19" x14ac:dyDescent="0.25">
      <c r="A82" s="3">
        <v>17103219</v>
      </c>
      <c r="B82" s="3" t="s">
        <v>229</v>
      </c>
      <c r="C82" s="3" t="s">
        <v>15</v>
      </c>
      <c r="D82" s="3">
        <v>4711</v>
      </c>
      <c r="E82" s="3" t="s">
        <v>106</v>
      </c>
      <c r="F82" s="3" t="s">
        <v>133</v>
      </c>
      <c r="G82" s="4">
        <v>42795</v>
      </c>
      <c r="H82" s="4">
        <v>46178</v>
      </c>
      <c r="I82" s="3" t="s">
        <v>230</v>
      </c>
      <c r="J82" s="3" t="s">
        <v>18</v>
      </c>
      <c r="K82" s="3">
        <v>6</v>
      </c>
      <c r="L82" s="3">
        <f t="shared" si="2"/>
        <v>8</v>
      </c>
      <c r="M82" s="3">
        <v>19</v>
      </c>
      <c r="N82" s="3">
        <f t="shared" si="3"/>
        <v>-11</v>
      </c>
      <c r="O82" s="3" t="s">
        <v>19</v>
      </c>
      <c r="P82" s="13" t="s">
        <v>231</v>
      </c>
      <c r="Q82" s="9">
        <v>64101.8</v>
      </c>
      <c r="R82" s="5" t="s">
        <v>186</v>
      </c>
      <c r="S82" s="3">
        <v>2</v>
      </c>
    </row>
    <row r="83" spans="1:19" x14ac:dyDescent="0.25">
      <c r="A83" s="3">
        <v>21100815</v>
      </c>
      <c r="B83" s="3" t="s">
        <v>232</v>
      </c>
      <c r="C83" s="3" t="s">
        <v>15</v>
      </c>
      <c r="D83" s="3" t="s">
        <v>40</v>
      </c>
      <c r="E83" s="3" t="s">
        <v>41</v>
      </c>
      <c r="F83" s="3" t="s">
        <v>415</v>
      </c>
      <c r="G83" s="4">
        <v>44236</v>
      </c>
      <c r="H83" s="4">
        <v>46178</v>
      </c>
      <c r="I83" s="3" t="s">
        <v>17</v>
      </c>
      <c r="J83" s="3" t="s">
        <v>18</v>
      </c>
      <c r="K83" s="3">
        <v>8</v>
      </c>
      <c r="L83" s="3">
        <f t="shared" si="2"/>
        <v>10</v>
      </c>
      <c r="M83" s="3">
        <v>11</v>
      </c>
      <c r="N83" s="3">
        <f t="shared" si="3"/>
        <v>-1</v>
      </c>
      <c r="O83" s="3" t="s">
        <v>19</v>
      </c>
      <c r="P83" s="13" t="s">
        <v>233</v>
      </c>
      <c r="Q83" s="9">
        <v>106067</v>
      </c>
      <c r="R83" s="5" t="s">
        <v>186</v>
      </c>
      <c r="S83" s="3">
        <v>2</v>
      </c>
    </row>
    <row r="84" spans="1:19" x14ac:dyDescent="0.25">
      <c r="A84" s="3">
        <v>22180762</v>
      </c>
      <c r="B84" s="3" t="s">
        <v>234</v>
      </c>
      <c r="C84" s="3" t="s">
        <v>38</v>
      </c>
      <c r="D84" s="3">
        <v>2337</v>
      </c>
      <c r="E84" s="3" t="s">
        <v>149</v>
      </c>
      <c r="F84" s="3" t="s">
        <v>419</v>
      </c>
      <c r="G84" s="4">
        <v>44651</v>
      </c>
      <c r="H84" s="4">
        <v>46023</v>
      </c>
      <c r="I84" s="3" t="s">
        <v>56</v>
      </c>
      <c r="J84" s="3" t="s">
        <v>18</v>
      </c>
      <c r="K84" s="3">
        <v>8</v>
      </c>
      <c r="L84" s="3">
        <f t="shared" si="2"/>
        <v>10</v>
      </c>
      <c r="M84" s="3">
        <v>9</v>
      </c>
      <c r="N84" s="3">
        <f t="shared" si="3"/>
        <v>1</v>
      </c>
      <c r="O84" s="3" t="s">
        <v>19</v>
      </c>
      <c r="P84" s="13" t="s">
        <v>235</v>
      </c>
      <c r="Q84" s="9">
        <v>86926.8</v>
      </c>
      <c r="R84" s="5" t="s">
        <v>186</v>
      </c>
      <c r="S84" s="3">
        <v>2</v>
      </c>
    </row>
    <row r="85" spans="1:19" x14ac:dyDescent="0.25">
      <c r="A85" s="3">
        <v>22103214</v>
      </c>
      <c r="B85" s="3" t="s">
        <v>236</v>
      </c>
      <c r="C85" s="3" t="s">
        <v>15</v>
      </c>
      <c r="D85" s="3" t="s">
        <v>132</v>
      </c>
      <c r="E85" s="3" t="s">
        <v>133</v>
      </c>
      <c r="F85" s="3" t="s">
        <v>133</v>
      </c>
      <c r="G85" s="4">
        <v>45370</v>
      </c>
      <c r="H85" s="4">
        <v>46023</v>
      </c>
      <c r="I85" s="3" t="s">
        <v>26</v>
      </c>
      <c r="J85" s="3" t="s">
        <v>18</v>
      </c>
      <c r="K85" s="3">
        <v>7</v>
      </c>
      <c r="L85" s="3">
        <f t="shared" si="2"/>
        <v>9</v>
      </c>
      <c r="M85" s="3">
        <v>5</v>
      </c>
      <c r="N85" s="3">
        <f t="shared" si="3"/>
        <v>4</v>
      </c>
      <c r="O85" s="3" t="s">
        <v>19</v>
      </c>
      <c r="P85" s="13" t="s">
        <v>237</v>
      </c>
      <c r="Q85" s="9">
        <v>49324.91</v>
      </c>
      <c r="R85" s="5" t="s">
        <v>186</v>
      </c>
      <c r="S85" s="3">
        <v>2</v>
      </c>
    </row>
    <row r="86" spans="1:19" x14ac:dyDescent="0.25">
      <c r="A86" s="3">
        <v>23280078</v>
      </c>
      <c r="B86" s="3" t="s">
        <v>238</v>
      </c>
      <c r="C86" s="3" t="s">
        <v>15</v>
      </c>
      <c r="D86" s="3">
        <v>4465</v>
      </c>
      <c r="E86" s="3" t="s">
        <v>122</v>
      </c>
      <c r="F86" s="3" t="s">
        <v>424</v>
      </c>
      <c r="G86" s="4">
        <v>45175</v>
      </c>
      <c r="H86" s="4">
        <v>46023</v>
      </c>
      <c r="I86" s="3" t="s">
        <v>80</v>
      </c>
      <c r="J86" s="3" t="s">
        <v>18</v>
      </c>
      <c r="K86" s="3">
        <v>10</v>
      </c>
      <c r="L86" s="3">
        <f t="shared" si="2"/>
        <v>12</v>
      </c>
      <c r="M86" s="3">
        <v>6</v>
      </c>
      <c r="N86" s="3">
        <f t="shared" si="3"/>
        <v>6</v>
      </c>
      <c r="O86" s="3" t="s">
        <v>19</v>
      </c>
      <c r="P86" s="13" t="s">
        <v>239</v>
      </c>
      <c r="Q86" s="9">
        <v>45488.77</v>
      </c>
      <c r="R86" s="5" t="s">
        <v>186</v>
      </c>
      <c r="S86" s="3">
        <v>2</v>
      </c>
    </row>
    <row r="87" spans="1:19" x14ac:dyDescent="0.25">
      <c r="A87" s="3">
        <v>18104381</v>
      </c>
      <c r="B87" s="3" t="s">
        <v>240</v>
      </c>
      <c r="C87" s="3" t="s">
        <v>38</v>
      </c>
      <c r="D87" s="3" t="s">
        <v>241</v>
      </c>
      <c r="E87" s="3" t="s">
        <v>242</v>
      </c>
      <c r="F87" s="3" t="s">
        <v>74</v>
      </c>
      <c r="G87" s="4">
        <v>43175</v>
      </c>
      <c r="H87" s="4">
        <v>44742</v>
      </c>
      <c r="I87" s="3" t="s">
        <v>155</v>
      </c>
      <c r="J87" s="3" t="s">
        <v>18</v>
      </c>
      <c r="K87" s="3">
        <v>8</v>
      </c>
      <c r="L87" s="3">
        <f t="shared" si="2"/>
        <v>10</v>
      </c>
      <c r="M87" s="3">
        <v>17</v>
      </c>
      <c r="N87" s="3">
        <f t="shared" si="3"/>
        <v>-7</v>
      </c>
      <c r="O87" s="3" t="s">
        <v>19</v>
      </c>
      <c r="P87" s="13" t="s">
        <v>243</v>
      </c>
      <c r="Q87" s="9">
        <v>199232.04</v>
      </c>
      <c r="R87" s="5" t="s">
        <v>186</v>
      </c>
      <c r="S87" s="3">
        <v>2</v>
      </c>
    </row>
    <row r="88" spans="1:19" x14ac:dyDescent="0.25">
      <c r="A88" s="3">
        <v>21200598</v>
      </c>
      <c r="B88" s="3" t="s">
        <v>244</v>
      </c>
      <c r="C88" s="3" t="s">
        <v>15</v>
      </c>
      <c r="D88" s="3" t="s">
        <v>188</v>
      </c>
      <c r="E88" s="3" t="s">
        <v>189</v>
      </c>
      <c r="F88" s="3" t="s">
        <v>189</v>
      </c>
      <c r="G88" s="4">
        <v>44588</v>
      </c>
      <c r="H88" s="4">
        <v>46230</v>
      </c>
      <c r="I88" s="3" t="s">
        <v>56</v>
      </c>
      <c r="J88" s="3" t="s">
        <v>18</v>
      </c>
      <c r="K88" s="3">
        <v>10</v>
      </c>
      <c r="L88" s="3">
        <f t="shared" si="2"/>
        <v>12</v>
      </c>
      <c r="M88" s="3">
        <v>9</v>
      </c>
      <c r="N88" s="3">
        <f t="shared" si="3"/>
        <v>3</v>
      </c>
      <c r="O88" s="3" t="s">
        <v>19</v>
      </c>
      <c r="P88" s="13" t="s">
        <v>245</v>
      </c>
      <c r="Q88" s="9">
        <v>92133.22</v>
      </c>
      <c r="R88" s="5" t="s">
        <v>186</v>
      </c>
      <c r="S88" s="3">
        <v>2</v>
      </c>
    </row>
    <row r="89" spans="1:19" x14ac:dyDescent="0.25">
      <c r="A89" s="3">
        <v>22105629</v>
      </c>
      <c r="B89" s="3" t="s">
        <v>246</v>
      </c>
      <c r="C89" s="3" t="s">
        <v>38</v>
      </c>
      <c r="D89" s="3">
        <v>9704</v>
      </c>
      <c r="E89" s="3" t="s">
        <v>22</v>
      </c>
      <c r="F89" s="3" t="s">
        <v>74</v>
      </c>
      <c r="G89" s="4">
        <v>44567</v>
      </c>
      <c r="H89" s="4">
        <v>46028</v>
      </c>
      <c r="I89" s="3" t="s">
        <v>56</v>
      </c>
      <c r="J89" s="3" t="s">
        <v>18</v>
      </c>
      <c r="K89" s="3">
        <v>8</v>
      </c>
      <c r="L89" s="3">
        <f t="shared" si="2"/>
        <v>10</v>
      </c>
      <c r="M89" s="3">
        <v>9</v>
      </c>
      <c r="N89" s="3">
        <f t="shared" si="3"/>
        <v>1</v>
      </c>
      <c r="O89" s="3" t="s">
        <v>19</v>
      </c>
      <c r="P89" s="13" t="s">
        <v>247</v>
      </c>
      <c r="Q89" s="9">
        <v>92928.16</v>
      </c>
      <c r="R89" s="5" t="s">
        <v>186</v>
      </c>
      <c r="S89" s="3">
        <v>2</v>
      </c>
    </row>
    <row r="90" spans="1:19" x14ac:dyDescent="0.25">
      <c r="A90" s="3">
        <v>18104384</v>
      </c>
      <c r="B90" s="3" t="s">
        <v>248</v>
      </c>
      <c r="C90" s="3" t="s">
        <v>38</v>
      </c>
      <c r="D90" s="3" t="s">
        <v>249</v>
      </c>
      <c r="E90" s="3" t="s">
        <v>250</v>
      </c>
      <c r="F90" s="3" t="s">
        <v>250</v>
      </c>
      <c r="G90" s="4">
        <v>43384</v>
      </c>
      <c r="H90" s="4">
        <v>45290</v>
      </c>
      <c r="I90" s="3" t="s">
        <v>67</v>
      </c>
      <c r="J90" s="3" t="s">
        <v>18</v>
      </c>
      <c r="K90" s="3">
        <v>8</v>
      </c>
      <c r="L90" s="3">
        <f t="shared" si="2"/>
        <v>10</v>
      </c>
      <c r="M90" s="3">
        <v>16</v>
      </c>
      <c r="N90" s="3">
        <f t="shared" si="3"/>
        <v>-6</v>
      </c>
      <c r="O90" s="3" t="s">
        <v>19</v>
      </c>
      <c r="P90" s="13" t="s">
        <v>251</v>
      </c>
      <c r="Q90" s="9">
        <v>184894.13</v>
      </c>
      <c r="R90" s="5" t="s">
        <v>186</v>
      </c>
      <c r="S90" s="3">
        <v>2</v>
      </c>
    </row>
    <row r="91" spans="1:19" x14ac:dyDescent="0.25">
      <c r="A91" s="3">
        <v>18107985</v>
      </c>
      <c r="B91" s="3" t="s">
        <v>252</v>
      </c>
      <c r="C91" s="3" t="s">
        <v>15</v>
      </c>
      <c r="D91" s="3">
        <v>9609</v>
      </c>
      <c r="E91" s="3" t="s">
        <v>223</v>
      </c>
      <c r="F91" s="3" t="s">
        <v>223</v>
      </c>
      <c r="G91" s="4">
        <v>44250</v>
      </c>
      <c r="H91" s="4">
        <v>46076</v>
      </c>
      <c r="I91" s="3" t="s">
        <v>17</v>
      </c>
      <c r="J91" s="3" t="s">
        <v>18</v>
      </c>
      <c r="K91" s="3">
        <v>10</v>
      </c>
      <c r="L91" s="3">
        <f t="shared" si="2"/>
        <v>12</v>
      </c>
      <c r="M91" s="3">
        <v>11</v>
      </c>
      <c r="N91" s="3">
        <f t="shared" si="3"/>
        <v>1</v>
      </c>
      <c r="O91" s="3" t="s">
        <v>19</v>
      </c>
      <c r="P91" s="13" t="s">
        <v>253</v>
      </c>
      <c r="Q91" s="9">
        <v>126491.07</v>
      </c>
      <c r="R91" s="5" t="s">
        <v>186</v>
      </c>
      <c r="S91" s="3">
        <v>2</v>
      </c>
    </row>
    <row r="92" spans="1:19" x14ac:dyDescent="0.25">
      <c r="A92" s="3">
        <v>21201023</v>
      </c>
      <c r="B92" s="3" t="s">
        <v>254</v>
      </c>
      <c r="C92" s="3" t="s">
        <v>15</v>
      </c>
      <c r="D92" s="3">
        <v>4804</v>
      </c>
      <c r="E92" s="3" t="s">
        <v>154</v>
      </c>
      <c r="F92" s="3" t="s">
        <v>154</v>
      </c>
      <c r="G92" s="4">
        <v>44778</v>
      </c>
      <c r="H92" s="4">
        <v>46204</v>
      </c>
      <c r="I92" s="3" t="s">
        <v>29</v>
      </c>
      <c r="J92" s="3" t="s">
        <v>18</v>
      </c>
      <c r="K92" s="3">
        <v>10</v>
      </c>
      <c r="L92" s="3">
        <f t="shared" si="2"/>
        <v>12</v>
      </c>
      <c r="M92" s="3">
        <v>8</v>
      </c>
      <c r="N92" s="3">
        <f t="shared" si="3"/>
        <v>4</v>
      </c>
      <c r="O92" s="3" t="s">
        <v>19</v>
      </c>
      <c r="P92" s="13" t="s">
        <v>255</v>
      </c>
      <c r="Q92" s="9">
        <v>98001.27</v>
      </c>
      <c r="R92" s="5" t="s">
        <v>186</v>
      </c>
      <c r="S92" s="3">
        <v>2</v>
      </c>
    </row>
    <row r="93" spans="1:19" x14ac:dyDescent="0.25">
      <c r="A93" s="3">
        <v>22106577</v>
      </c>
      <c r="B93" s="3" t="s">
        <v>256</v>
      </c>
      <c r="C93" s="3" t="s">
        <v>15</v>
      </c>
      <c r="D93" s="3" t="s">
        <v>59</v>
      </c>
      <c r="E93" s="3" t="s">
        <v>48</v>
      </c>
      <c r="F93" s="3" t="s">
        <v>48</v>
      </c>
      <c r="G93" s="4">
        <v>44585</v>
      </c>
      <c r="H93" s="4">
        <v>46046</v>
      </c>
      <c r="I93" s="3" t="s">
        <v>56</v>
      </c>
      <c r="J93" s="3" t="s">
        <v>18</v>
      </c>
      <c r="K93" s="3">
        <v>8</v>
      </c>
      <c r="L93" s="3">
        <f t="shared" si="2"/>
        <v>10</v>
      </c>
      <c r="M93" s="3">
        <v>9</v>
      </c>
      <c r="N93" s="3">
        <f t="shared" si="3"/>
        <v>1</v>
      </c>
      <c r="O93" s="3" t="s">
        <v>19</v>
      </c>
      <c r="P93" s="13" t="s">
        <v>138</v>
      </c>
      <c r="Q93" s="9">
        <v>102726</v>
      </c>
      <c r="R93" s="5" t="s">
        <v>186</v>
      </c>
      <c r="S93" s="3">
        <v>2</v>
      </c>
    </row>
    <row r="94" spans="1:19" x14ac:dyDescent="0.25">
      <c r="A94" s="3">
        <v>23280365</v>
      </c>
      <c r="B94" s="3" t="s">
        <v>257</v>
      </c>
      <c r="C94" s="3" t="s">
        <v>15</v>
      </c>
      <c r="D94" s="3">
        <v>9201</v>
      </c>
      <c r="E94" s="3" t="s">
        <v>146</v>
      </c>
      <c r="F94" s="3" t="s">
        <v>420</v>
      </c>
      <c r="G94" s="4">
        <v>45155</v>
      </c>
      <c r="H94" s="4">
        <v>46204</v>
      </c>
      <c r="I94" s="3" t="s">
        <v>80</v>
      </c>
      <c r="J94" s="3" t="s">
        <v>18</v>
      </c>
      <c r="K94" s="3">
        <v>10</v>
      </c>
      <c r="L94" s="3">
        <f t="shared" si="2"/>
        <v>12</v>
      </c>
      <c r="M94" s="3">
        <v>6</v>
      </c>
      <c r="N94" s="3">
        <f t="shared" si="3"/>
        <v>6</v>
      </c>
      <c r="O94" s="3" t="s">
        <v>19</v>
      </c>
      <c r="P94" s="13" t="s">
        <v>258</v>
      </c>
      <c r="Q94" s="9">
        <v>50323.48</v>
      </c>
      <c r="R94" s="5" t="s">
        <v>186</v>
      </c>
      <c r="S94" s="3">
        <v>2</v>
      </c>
    </row>
    <row r="95" spans="1:19" x14ac:dyDescent="0.25">
      <c r="A95" s="3">
        <v>15103643</v>
      </c>
      <c r="B95" s="3" t="s">
        <v>259</v>
      </c>
      <c r="C95" s="3" t="s">
        <v>15</v>
      </c>
      <c r="D95" s="3">
        <v>4452</v>
      </c>
      <c r="E95" s="3" t="s">
        <v>260</v>
      </c>
      <c r="F95" s="3" t="s">
        <v>425</v>
      </c>
      <c r="G95" s="4">
        <v>42615</v>
      </c>
      <c r="H95" s="4">
        <v>46001</v>
      </c>
      <c r="I95" s="3" t="s">
        <v>261</v>
      </c>
      <c r="J95" s="3" t="s">
        <v>18</v>
      </c>
      <c r="K95" s="3">
        <v>10</v>
      </c>
      <c r="L95" s="3">
        <f t="shared" si="2"/>
        <v>12</v>
      </c>
      <c r="M95" s="3">
        <v>20</v>
      </c>
      <c r="N95" s="3">
        <f t="shared" si="3"/>
        <v>-8</v>
      </c>
      <c r="O95" s="3" t="s">
        <v>19</v>
      </c>
      <c r="P95" s="13" t="s">
        <v>262</v>
      </c>
      <c r="Q95" s="9">
        <v>185108.35</v>
      </c>
      <c r="R95" s="5" t="s">
        <v>186</v>
      </c>
      <c r="S95" s="3">
        <v>2</v>
      </c>
    </row>
    <row r="96" spans="1:19" x14ac:dyDescent="0.25">
      <c r="A96" s="3">
        <v>19102932</v>
      </c>
      <c r="B96" s="3" t="s">
        <v>263</v>
      </c>
      <c r="C96" s="3" t="s">
        <v>15</v>
      </c>
      <c r="D96" s="3">
        <v>2555</v>
      </c>
      <c r="E96" s="3" t="s">
        <v>264</v>
      </c>
      <c r="F96" s="3" t="s">
        <v>417</v>
      </c>
      <c r="G96" s="4">
        <v>43871</v>
      </c>
      <c r="H96" s="4">
        <v>46022</v>
      </c>
      <c r="I96" s="3" t="s">
        <v>49</v>
      </c>
      <c r="J96" s="3" t="s">
        <v>18</v>
      </c>
      <c r="K96" s="3">
        <v>8</v>
      </c>
      <c r="L96" s="3">
        <f t="shared" si="2"/>
        <v>10</v>
      </c>
      <c r="M96" s="3">
        <v>13</v>
      </c>
      <c r="N96" s="3">
        <f t="shared" si="3"/>
        <v>-3</v>
      </c>
      <c r="O96" s="3" t="s">
        <v>19</v>
      </c>
      <c r="P96" s="13" t="s">
        <v>265</v>
      </c>
      <c r="Q96" s="9">
        <v>115720.16</v>
      </c>
      <c r="R96" s="5" t="s">
        <v>186</v>
      </c>
      <c r="S96" s="3">
        <v>2</v>
      </c>
    </row>
    <row r="97" spans="1:19" x14ac:dyDescent="0.25">
      <c r="A97" s="3">
        <v>23180259</v>
      </c>
      <c r="B97" s="3" t="s">
        <v>266</v>
      </c>
      <c r="C97" s="3" t="s">
        <v>15</v>
      </c>
      <c r="D97" s="3">
        <v>9609</v>
      </c>
      <c r="E97" s="3" t="s">
        <v>223</v>
      </c>
      <c r="F97" s="3" t="s">
        <v>223</v>
      </c>
      <c r="G97" s="4">
        <v>44950</v>
      </c>
      <c r="H97" s="4">
        <v>46204</v>
      </c>
      <c r="I97" s="3" t="s">
        <v>70</v>
      </c>
      <c r="J97" s="3" t="s">
        <v>18</v>
      </c>
      <c r="K97" s="3">
        <v>10</v>
      </c>
      <c r="L97" s="3">
        <f t="shared" si="2"/>
        <v>12</v>
      </c>
      <c r="M97" s="3">
        <v>7</v>
      </c>
      <c r="N97" s="3">
        <f t="shared" si="3"/>
        <v>5</v>
      </c>
      <c r="O97" s="3" t="s">
        <v>19</v>
      </c>
      <c r="P97" s="13" t="s">
        <v>267</v>
      </c>
      <c r="Q97" s="9">
        <v>77153.570000000007</v>
      </c>
      <c r="R97" s="5" t="s">
        <v>186</v>
      </c>
      <c r="S97" s="3">
        <v>2</v>
      </c>
    </row>
    <row r="98" spans="1:19" x14ac:dyDescent="0.25">
      <c r="A98" s="3">
        <v>23105043</v>
      </c>
      <c r="B98" s="3" t="s">
        <v>268</v>
      </c>
      <c r="C98" s="3" t="s">
        <v>38</v>
      </c>
      <c r="D98" s="3" t="s">
        <v>132</v>
      </c>
      <c r="E98" s="3" t="s">
        <v>133</v>
      </c>
      <c r="F98" s="3" t="s">
        <v>133</v>
      </c>
      <c r="G98" s="4">
        <v>44974</v>
      </c>
      <c r="H98" s="4">
        <v>46204</v>
      </c>
      <c r="I98" s="3" t="s">
        <v>70</v>
      </c>
      <c r="J98" s="3" t="s">
        <v>18</v>
      </c>
      <c r="K98" s="3">
        <v>7</v>
      </c>
      <c r="L98" s="3">
        <f t="shared" si="2"/>
        <v>9</v>
      </c>
      <c r="M98" s="3">
        <v>7</v>
      </c>
      <c r="N98" s="3">
        <f t="shared" si="3"/>
        <v>2</v>
      </c>
      <c r="O98" s="3" t="s">
        <v>19</v>
      </c>
      <c r="P98" s="13" t="s">
        <v>269</v>
      </c>
      <c r="Q98" s="9">
        <v>108230.15</v>
      </c>
      <c r="R98" s="5" t="s">
        <v>186</v>
      </c>
      <c r="S98" s="3">
        <v>2</v>
      </c>
    </row>
    <row r="99" spans="1:19" x14ac:dyDescent="0.25">
      <c r="A99" s="3">
        <v>21103010</v>
      </c>
      <c r="B99" s="3" t="s">
        <v>270</v>
      </c>
      <c r="C99" s="3" t="s">
        <v>15</v>
      </c>
      <c r="D99" s="3" t="s">
        <v>271</v>
      </c>
      <c r="E99" s="3" t="s">
        <v>133</v>
      </c>
      <c r="F99" s="3" t="s">
        <v>133</v>
      </c>
      <c r="G99" s="4">
        <v>44250</v>
      </c>
      <c r="H99" s="4">
        <v>46178</v>
      </c>
      <c r="I99" s="3" t="s">
        <v>17</v>
      </c>
      <c r="J99" s="3" t="s">
        <v>18</v>
      </c>
      <c r="K99" s="3">
        <v>6</v>
      </c>
      <c r="L99" s="3">
        <f t="shared" si="2"/>
        <v>8</v>
      </c>
      <c r="M99" s="3">
        <v>11</v>
      </c>
      <c r="N99" s="3">
        <f t="shared" si="3"/>
        <v>-3</v>
      </c>
      <c r="O99" s="3" t="s">
        <v>19</v>
      </c>
      <c r="P99" s="13" t="s">
        <v>272</v>
      </c>
      <c r="Q99" s="9">
        <v>111072.43</v>
      </c>
      <c r="R99" s="5" t="s">
        <v>186</v>
      </c>
      <c r="S99" s="3">
        <v>2</v>
      </c>
    </row>
    <row r="100" spans="1:19" x14ac:dyDescent="0.25">
      <c r="A100" s="3">
        <v>21101217</v>
      </c>
      <c r="B100" s="3" t="s">
        <v>273</v>
      </c>
      <c r="C100" s="3" t="s">
        <v>38</v>
      </c>
      <c r="D100" s="3">
        <v>9201</v>
      </c>
      <c r="E100" s="3" t="s">
        <v>146</v>
      </c>
      <c r="F100" s="3" t="s">
        <v>420</v>
      </c>
      <c r="G100" s="4">
        <v>44237</v>
      </c>
      <c r="H100" s="4">
        <v>46063</v>
      </c>
      <c r="I100" s="3" t="s">
        <v>17</v>
      </c>
      <c r="J100" s="3" t="s">
        <v>18</v>
      </c>
      <c r="K100" s="3">
        <v>10</v>
      </c>
      <c r="L100" s="3">
        <f t="shared" si="2"/>
        <v>12</v>
      </c>
      <c r="M100" s="3">
        <v>11</v>
      </c>
      <c r="N100" s="3">
        <f t="shared" si="3"/>
        <v>1</v>
      </c>
      <c r="O100" s="3" t="s">
        <v>19</v>
      </c>
      <c r="P100" s="13" t="s">
        <v>274</v>
      </c>
      <c r="Q100" s="9">
        <v>135413.5</v>
      </c>
      <c r="R100" s="5" t="s">
        <v>186</v>
      </c>
      <c r="S100" s="3">
        <v>2</v>
      </c>
    </row>
    <row r="101" spans="1:19" x14ac:dyDescent="0.25">
      <c r="A101" s="3">
        <v>23104456</v>
      </c>
      <c r="B101" s="3" t="s">
        <v>275</v>
      </c>
      <c r="C101" s="3" t="s">
        <v>15</v>
      </c>
      <c r="D101" s="3" t="s">
        <v>132</v>
      </c>
      <c r="E101" s="3" t="s">
        <v>133</v>
      </c>
      <c r="F101" s="3" t="s">
        <v>133</v>
      </c>
      <c r="G101" s="4">
        <v>45050</v>
      </c>
      <c r="H101" s="4">
        <v>46204</v>
      </c>
      <c r="I101" s="3" t="s">
        <v>70</v>
      </c>
      <c r="J101" s="3" t="s">
        <v>18</v>
      </c>
      <c r="K101" s="3">
        <v>7</v>
      </c>
      <c r="L101" s="3">
        <f t="shared" si="2"/>
        <v>9</v>
      </c>
      <c r="M101" s="3">
        <v>7</v>
      </c>
      <c r="N101" s="3">
        <f t="shared" si="3"/>
        <v>2</v>
      </c>
      <c r="O101" s="3" t="s">
        <v>19</v>
      </c>
      <c r="P101" s="13" t="s">
        <v>276</v>
      </c>
      <c r="Q101" s="9">
        <v>93531.64</v>
      </c>
      <c r="R101" s="5" t="s">
        <v>186</v>
      </c>
      <c r="S101" s="3">
        <v>2</v>
      </c>
    </row>
    <row r="102" spans="1:19" x14ac:dyDescent="0.25">
      <c r="A102" s="3">
        <v>21102640</v>
      </c>
      <c r="B102" s="3" t="s">
        <v>277</v>
      </c>
      <c r="C102" s="3" t="s">
        <v>15</v>
      </c>
      <c r="D102" s="3">
        <v>9113</v>
      </c>
      <c r="E102" s="3" t="s">
        <v>278</v>
      </c>
      <c r="F102" s="3" t="s">
        <v>278</v>
      </c>
      <c r="G102" s="4">
        <v>44245</v>
      </c>
      <c r="H102" s="4">
        <v>46178</v>
      </c>
      <c r="I102" s="3" t="s">
        <v>17</v>
      </c>
      <c r="J102" s="3" t="s">
        <v>18</v>
      </c>
      <c r="K102" s="3">
        <v>8</v>
      </c>
      <c r="L102" s="3">
        <f t="shared" si="2"/>
        <v>10</v>
      </c>
      <c r="M102" s="3">
        <v>11</v>
      </c>
      <c r="N102" s="3">
        <f t="shared" si="3"/>
        <v>-1</v>
      </c>
      <c r="O102" s="3" t="s">
        <v>19</v>
      </c>
      <c r="P102" s="13" t="s">
        <v>279</v>
      </c>
      <c r="Q102" s="9">
        <v>41221.51</v>
      </c>
      <c r="R102" s="5" t="s">
        <v>186</v>
      </c>
      <c r="S102" s="3">
        <v>2</v>
      </c>
    </row>
    <row r="103" spans="1:19" x14ac:dyDescent="0.25">
      <c r="A103" s="3">
        <v>19102451</v>
      </c>
      <c r="B103" s="3" t="s">
        <v>280</v>
      </c>
      <c r="C103" s="3" t="s">
        <v>15</v>
      </c>
      <c r="D103" s="3">
        <v>1311</v>
      </c>
      <c r="E103" s="3" t="s">
        <v>127</v>
      </c>
      <c r="F103" s="3" t="s">
        <v>428</v>
      </c>
      <c r="G103" s="4">
        <v>43504</v>
      </c>
      <c r="H103" s="4">
        <v>46178</v>
      </c>
      <c r="I103" s="3" t="s">
        <v>107</v>
      </c>
      <c r="J103" s="3" t="s">
        <v>18</v>
      </c>
      <c r="K103" s="3">
        <v>10</v>
      </c>
      <c r="L103" s="3">
        <f t="shared" si="2"/>
        <v>12</v>
      </c>
      <c r="M103" s="3">
        <v>15</v>
      </c>
      <c r="N103" s="3">
        <f t="shared" si="3"/>
        <v>-3</v>
      </c>
      <c r="O103" s="3" t="s">
        <v>19</v>
      </c>
      <c r="P103" s="13">
        <v>0.39</v>
      </c>
      <c r="Q103" s="9">
        <v>101176.49</v>
      </c>
      <c r="R103" s="5" t="s">
        <v>281</v>
      </c>
      <c r="S103" s="6">
        <v>3</v>
      </c>
    </row>
    <row r="104" spans="1:19" x14ac:dyDescent="0.25">
      <c r="A104" s="3">
        <v>22104665</v>
      </c>
      <c r="B104" s="3" t="s">
        <v>282</v>
      </c>
      <c r="C104" s="3" t="s">
        <v>15</v>
      </c>
      <c r="D104" s="3">
        <v>9605</v>
      </c>
      <c r="E104" s="3" t="s">
        <v>214</v>
      </c>
      <c r="F104" s="3" t="s">
        <v>416</v>
      </c>
      <c r="G104" s="4">
        <v>44692</v>
      </c>
      <c r="H104" s="4">
        <v>46023</v>
      </c>
      <c r="I104" s="3" t="s">
        <v>56</v>
      </c>
      <c r="J104" s="3" t="s">
        <v>18</v>
      </c>
      <c r="K104" s="3">
        <v>8</v>
      </c>
      <c r="L104" s="3">
        <f t="shared" si="2"/>
        <v>10</v>
      </c>
      <c r="M104" s="3">
        <v>9</v>
      </c>
      <c r="N104" s="3">
        <f t="shared" si="3"/>
        <v>1</v>
      </c>
      <c r="O104" s="3" t="s">
        <v>19</v>
      </c>
      <c r="P104" s="13">
        <v>0.39</v>
      </c>
      <c r="Q104" s="9">
        <v>92590.95</v>
      </c>
      <c r="R104" s="5" t="s">
        <v>281</v>
      </c>
      <c r="S104" s="6">
        <v>3</v>
      </c>
    </row>
    <row r="105" spans="1:19" x14ac:dyDescent="0.25">
      <c r="A105" s="3">
        <v>22103030</v>
      </c>
      <c r="B105" s="3" t="s">
        <v>283</v>
      </c>
      <c r="C105" s="3" t="s">
        <v>15</v>
      </c>
      <c r="D105" s="3" t="s">
        <v>44</v>
      </c>
      <c r="E105" s="3" t="s">
        <v>45</v>
      </c>
      <c r="F105" s="3" t="s">
        <v>45</v>
      </c>
      <c r="G105" s="4">
        <v>44571</v>
      </c>
      <c r="H105" s="4">
        <v>46032</v>
      </c>
      <c r="I105" s="3" t="s">
        <v>56</v>
      </c>
      <c r="J105" s="3" t="s">
        <v>18</v>
      </c>
      <c r="K105" s="3">
        <v>8</v>
      </c>
      <c r="L105" s="3">
        <f t="shared" si="2"/>
        <v>10</v>
      </c>
      <c r="M105" s="3">
        <v>9</v>
      </c>
      <c r="N105" s="3">
        <f t="shared" si="3"/>
        <v>1</v>
      </c>
      <c r="O105" s="3" t="s">
        <v>19</v>
      </c>
      <c r="P105" s="13">
        <v>0.46</v>
      </c>
      <c r="Q105" s="9">
        <v>88205.01</v>
      </c>
      <c r="R105" s="5" t="s">
        <v>281</v>
      </c>
      <c r="S105" s="6">
        <v>3</v>
      </c>
    </row>
    <row r="106" spans="1:19" x14ac:dyDescent="0.25">
      <c r="A106" s="3">
        <v>21100966</v>
      </c>
      <c r="B106" s="3" t="s">
        <v>284</v>
      </c>
      <c r="C106" s="3" t="s">
        <v>15</v>
      </c>
      <c r="D106" s="3">
        <v>9612</v>
      </c>
      <c r="E106" s="3" t="s">
        <v>64</v>
      </c>
      <c r="F106" s="3" t="s">
        <v>428</v>
      </c>
      <c r="G106" s="4">
        <v>44244</v>
      </c>
      <c r="H106" s="4">
        <v>46070</v>
      </c>
      <c r="I106" s="3" t="s">
        <v>17</v>
      </c>
      <c r="J106" s="3" t="s">
        <v>18</v>
      </c>
      <c r="K106" s="3">
        <v>10</v>
      </c>
      <c r="L106" s="3">
        <f t="shared" si="2"/>
        <v>12</v>
      </c>
      <c r="M106" s="3">
        <v>11</v>
      </c>
      <c r="N106" s="3">
        <f t="shared" si="3"/>
        <v>1</v>
      </c>
      <c r="O106" s="3" t="s">
        <v>19</v>
      </c>
      <c r="P106" s="13" t="s">
        <v>285</v>
      </c>
      <c r="Q106" s="9">
        <v>163352.69</v>
      </c>
      <c r="R106" s="5" t="s">
        <v>281</v>
      </c>
      <c r="S106" s="6">
        <v>3</v>
      </c>
    </row>
    <row r="107" spans="1:19" x14ac:dyDescent="0.25">
      <c r="A107" s="3">
        <v>21101662</v>
      </c>
      <c r="B107" s="3" t="s">
        <v>286</v>
      </c>
      <c r="C107" s="3" t="s">
        <v>15</v>
      </c>
      <c r="D107" s="3">
        <v>9201</v>
      </c>
      <c r="E107" s="3" t="s">
        <v>146</v>
      </c>
      <c r="F107" s="3" t="s">
        <v>420</v>
      </c>
      <c r="G107" s="4">
        <v>44250</v>
      </c>
      <c r="H107" s="4">
        <v>46076</v>
      </c>
      <c r="I107" s="3" t="s">
        <v>17</v>
      </c>
      <c r="J107" s="3" t="s">
        <v>18</v>
      </c>
      <c r="K107" s="3">
        <v>10</v>
      </c>
      <c r="L107" s="3">
        <f t="shared" si="2"/>
        <v>12</v>
      </c>
      <c r="M107" s="3">
        <v>11</v>
      </c>
      <c r="N107" s="3">
        <f t="shared" si="3"/>
        <v>1</v>
      </c>
      <c r="O107" s="3" t="s">
        <v>19</v>
      </c>
      <c r="P107" s="13" t="s">
        <v>287</v>
      </c>
      <c r="Q107" s="9">
        <v>98696.01</v>
      </c>
      <c r="R107" s="5" t="s">
        <v>281</v>
      </c>
      <c r="S107" s="6">
        <v>3</v>
      </c>
    </row>
    <row r="108" spans="1:19" x14ac:dyDescent="0.25">
      <c r="A108" s="3">
        <v>20280133</v>
      </c>
      <c r="B108" s="3" t="s">
        <v>288</v>
      </c>
      <c r="C108" s="3" t="s">
        <v>38</v>
      </c>
      <c r="D108" s="3">
        <v>9703</v>
      </c>
      <c r="E108" s="3" t="s">
        <v>211</v>
      </c>
      <c r="F108" s="3" t="s">
        <v>429</v>
      </c>
      <c r="G108" s="4">
        <v>44085</v>
      </c>
      <c r="H108" s="4">
        <v>45362</v>
      </c>
      <c r="I108" s="3" t="s">
        <v>53</v>
      </c>
      <c r="J108" s="3" t="s">
        <v>18</v>
      </c>
      <c r="K108" s="3">
        <v>8</v>
      </c>
      <c r="L108" s="3">
        <f t="shared" si="2"/>
        <v>10</v>
      </c>
      <c r="M108" s="3">
        <v>12</v>
      </c>
      <c r="N108" s="3">
        <f t="shared" si="3"/>
        <v>-2</v>
      </c>
      <c r="O108" s="3" t="s">
        <v>19</v>
      </c>
      <c r="P108" s="13" t="s">
        <v>289</v>
      </c>
      <c r="Q108" s="9">
        <v>138549.04</v>
      </c>
      <c r="R108" s="5" t="s">
        <v>281</v>
      </c>
      <c r="S108" s="6">
        <v>3</v>
      </c>
    </row>
    <row r="109" spans="1:19" x14ac:dyDescent="0.25">
      <c r="A109" s="3">
        <v>21104614</v>
      </c>
      <c r="B109" s="3" t="s">
        <v>290</v>
      </c>
      <c r="C109" s="3" t="s">
        <v>15</v>
      </c>
      <c r="D109" s="3">
        <v>9601</v>
      </c>
      <c r="E109" s="3" t="s">
        <v>291</v>
      </c>
      <c r="F109" s="3" t="s">
        <v>167</v>
      </c>
      <c r="G109" s="4">
        <v>44587</v>
      </c>
      <c r="H109" s="4">
        <v>46048</v>
      </c>
      <c r="I109" s="3" t="s">
        <v>56</v>
      </c>
      <c r="J109" s="3" t="s">
        <v>18</v>
      </c>
      <c r="K109" s="3">
        <v>10</v>
      </c>
      <c r="L109" s="3">
        <f t="shared" si="2"/>
        <v>12</v>
      </c>
      <c r="M109" s="3">
        <v>9</v>
      </c>
      <c r="N109" s="3">
        <f t="shared" si="3"/>
        <v>3</v>
      </c>
      <c r="O109" s="3" t="s">
        <v>19</v>
      </c>
      <c r="P109" s="13" t="s">
        <v>292</v>
      </c>
      <c r="Q109" s="9">
        <v>79027.48</v>
      </c>
      <c r="R109" s="5" t="s">
        <v>281</v>
      </c>
      <c r="S109" s="6">
        <v>3</v>
      </c>
    </row>
    <row r="110" spans="1:19" x14ac:dyDescent="0.25">
      <c r="A110" s="3">
        <v>21102023</v>
      </c>
      <c r="B110" s="3" t="s">
        <v>293</v>
      </c>
      <c r="C110" s="3" t="s">
        <v>15</v>
      </c>
      <c r="D110" s="3" t="s">
        <v>59</v>
      </c>
      <c r="E110" s="3" t="s">
        <v>48</v>
      </c>
      <c r="F110" s="3" t="s">
        <v>48</v>
      </c>
      <c r="G110" s="4">
        <v>44425</v>
      </c>
      <c r="H110" s="4">
        <v>46183</v>
      </c>
      <c r="I110" s="3" t="s">
        <v>23</v>
      </c>
      <c r="J110" s="3" t="s">
        <v>18</v>
      </c>
      <c r="K110" s="3">
        <v>8</v>
      </c>
      <c r="L110" s="3">
        <f t="shared" si="2"/>
        <v>10</v>
      </c>
      <c r="M110" s="3">
        <v>10</v>
      </c>
      <c r="N110" s="3">
        <f t="shared" si="3"/>
        <v>0</v>
      </c>
      <c r="O110" s="3" t="s">
        <v>19</v>
      </c>
      <c r="P110" s="13">
        <v>0.5</v>
      </c>
      <c r="Q110" s="9">
        <v>111935.45</v>
      </c>
      <c r="R110" s="5" t="s">
        <v>281</v>
      </c>
      <c r="S110" s="6">
        <v>3</v>
      </c>
    </row>
    <row r="111" spans="1:19" x14ac:dyDescent="0.25">
      <c r="A111" s="3">
        <v>22105478</v>
      </c>
      <c r="B111" s="3" t="s">
        <v>294</v>
      </c>
      <c r="C111" s="3" t="s">
        <v>15</v>
      </c>
      <c r="D111" s="3">
        <v>9605</v>
      </c>
      <c r="E111" s="3" t="s">
        <v>214</v>
      </c>
      <c r="F111" s="3" t="s">
        <v>416</v>
      </c>
      <c r="G111" s="4">
        <v>44671</v>
      </c>
      <c r="H111" s="4">
        <v>46023</v>
      </c>
      <c r="I111" s="3" t="s">
        <v>56</v>
      </c>
      <c r="J111" s="3" t="s">
        <v>18</v>
      </c>
      <c r="K111" s="3">
        <v>8</v>
      </c>
      <c r="L111" s="3">
        <f t="shared" si="2"/>
        <v>10</v>
      </c>
      <c r="M111" s="3">
        <v>9</v>
      </c>
      <c r="N111" s="3">
        <f t="shared" si="3"/>
        <v>1</v>
      </c>
      <c r="O111" s="3" t="s">
        <v>19</v>
      </c>
      <c r="P111" s="13" t="s">
        <v>295</v>
      </c>
      <c r="Q111" s="9">
        <v>51061.47</v>
      </c>
      <c r="R111" s="5" t="s">
        <v>281</v>
      </c>
      <c r="S111" s="6">
        <v>3</v>
      </c>
    </row>
    <row r="112" spans="1:19" x14ac:dyDescent="0.25">
      <c r="A112" s="3">
        <v>23110011</v>
      </c>
      <c r="B112" s="3" t="s">
        <v>296</v>
      </c>
      <c r="C112" s="3" t="s">
        <v>15</v>
      </c>
      <c r="D112" s="3">
        <v>9106</v>
      </c>
      <c r="E112" s="3" t="s">
        <v>297</v>
      </c>
      <c r="F112" s="3" t="s">
        <v>430</v>
      </c>
      <c r="G112" s="4">
        <v>44973</v>
      </c>
      <c r="H112" s="4">
        <v>46023</v>
      </c>
      <c r="I112" s="3" t="s">
        <v>70</v>
      </c>
      <c r="J112" s="3" t="s">
        <v>18</v>
      </c>
      <c r="K112" s="3">
        <v>6</v>
      </c>
      <c r="L112" s="3">
        <f t="shared" si="2"/>
        <v>8</v>
      </c>
      <c r="M112" s="3">
        <v>7</v>
      </c>
      <c r="N112" s="3">
        <f t="shared" si="3"/>
        <v>1</v>
      </c>
      <c r="O112" s="3" t="s">
        <v>19</v>
      </c>
      <c r="P112" s="13" t="s">
        <v>298</v>
      </c>
      <c r="Q112" s="9">
        <v>55272.18</v>
      </c>
      <c r="R112" s="5" t="s">
        <v>281</v>
      </c>
      <c r="S112" s="6">
        <v>3</v>
      </c>
    </row>
    <row r="113" spans="1:19" x14ac:dyDescent="0.25">
      <c r="A113" s="3">
        <v>18108032</v>
      </c>
      <c r="B113" s="3" t="s">
        <v>299</v>
      </c>
      <c r="C113" s="3" t="s">
        <v>38</v>
      </c>
      <c r="D113" s="3">
        <v>4452</v>
      </c>
      <c r="E113" s="3" t="s">
        <v>260</v>
      </c>
      <c r="F113" s="3" t="s">
        <v>425</v>
      </c>
      <c r="G113" s="4">
        <v>43179</v>
      </c>
      <c r="H113" s="4">
        <v>45290</v>
      </c>
      <c r="I113" s="3" t="s">
        <v>155</v>
      </c>
      <c r="J113" s="3" t="s">
        <v>18</v>
      </c>
      <c r="K113" s="3">
        <v>10</v>
      </c>
      <c r="L113" s="3">
        <f t="shared" si="2"/>
        <v>12</v>
      </c>
      <c r="M113" s="3">
        <v>17</v>
      </c>
      <c r="N113" s="3">
        <f t="shared" si="3"/>
        <v>-5</v>
      </c>
      <c r="O113" s="3" t="s">
        <v>19</v>
      </c>
      <c r="P113" s="13" t="s">
        <v>300</v>
      </c>
      <c r="Q113" s="9">
        <v>181120.97</v>
      </c>
      <c r="R113" s="5" t="s">
        <v>281</v>
      </c>
      <c r="S113" s="6">
        <v>3</v>
      </c>
    </row>
    <row r="114" spans="1:19" x14ac:dyDescent="0.25">
      <c r="A114" s="3">
        <v>22103079</v>
      </c>
      <c r="B114" s="3" t="s">
        <v>301</v>
      </c>
      <c r="C114" s="3" t="s">
        <v>15</v>
      </c>
      <c r="D114" s="3" t="s">
        <v>44</v>
      </c>
      <c r="E114" s="3" t="s">
        <v>45</v>
      </c>
      <c r="F114" s="3" t="s">
        <v>45</v>
      </c>
      <c r="G114" s="4">
        <v>44610</v>
      </c>
      <c r="H114" s="4">
        <v>46023</v>
      </c>
      <c r="I114" s="3" t="s">
        <v>56</v>
      </c>
      <c r="J114" s="3" t="s">
        <v>18</v>
      </c>
      <c r="K114" s="3">
        <v>8</v>
      </c>
      <c r="L114" s="3">
        <f t="shared" si="2"/>
        <v>10</v>
      </c>
      <c r="M114" s="3">
        <v>9</v>
      </c>
      <c r="N114" s="3">
        <f t="shared" si="3"/>
        <v>1</v>
      </c>
      <c r="O114" s="3" t="s">
        <v>19</v>
      </c>
      <c r="P114" s="13">
        <v>0.54</v>
      </c>
      <c r="Q114" s="9">
        <v>79946.41</v>
      </c>
      <c r="R114" s="5" t="s">
        <v>281</v>
      </c>
      <c r="S114" s="6">
        <v>3</v>
      </c>
    </row>
    <row r="115" spans="1:19" x14ac:dyDescent="0.25">
      <c r="A115" s="3">
        <v>22280578</v>
      </c>
      <c r="B115" s="3" t="s">
        <v>302</v>
      </c>
      <c r="C115" s="3" t="s">
        <v>15</v>
      </c>
      <c r="D115" s="3">
        <v>9115</v>
      </c>
      <c r="E115" s="3" t="s">
        <v>303</v>
      </c>
      <c r="F115" s="3" t="s">
        <v>303</v>
      </c>
      <c r="G115" s="4">
        <v>45175</v>
      </c>
      <c r="H115" s="4">
        <v>46204</v>
      </c>
      <c r="I115" s="3" t="s">
        <v>80</v>
      </c>
      <c r="J115" s="3" t="s">
        <v>18</v>
      </c>
      <c r="K115" s="3">
        <v>8</v>
      </c>
      <c r="L115" s="3">
        <f t="shared" si="2"/>
        <v>10</v>
      </c>
      <c r="M115" s="3">
        <v>6</v>
      </c>
      <c r="N115" s="3">
        <f t="shared" si="3"/>
        <v>4</v>
      </c>
      <c r="O115" s="3" t="s">
        <v>19</v>
      </c>
      <c r="P115" s="13" t="s">
        <v>304</v>
      </c>
      <c r="Q115" s="9">
        <v>38487.089999999997</v>
      </c>
      <c r="R115" s="5" t="s">
        <v>281</v>
      </c>
      <c r="S115" s="6">
        <v>3</v>
      </c>
    </row>
    <row r="116" spans="1:19" x14ac:dyDescent="0.25">
      <c r="A116" s="3">
        <v>22106380</v>
      </c>
      <c r="B116" s="3" t="s">
        <v>305</v>
      </c>
      <c r="C116" s="3" t="s">
        <v>38</v>
      </c>
      <c r="D116" s="3">
        <v>9701</v>
      </c>
      <c r="E116" s="3" t="s">
        <v>55</v>
      </c>
      <c r="F116" s="3" t="s">
        <v>250</v>
      </c>
      <c r="G116" s="4">
        <v>44567</v>
      </c>
      <c r="H116" s="4">
        <v>46028</v>
      </c>
      <c r="I116" s="3" t="s">
        <v>56</v>
      </c>
      <c r="J116" s="3" t="s">
        <v>18</v>
      </c>
      <c r="K116" s="3">
        <v>8</v>
      </c>
      <c r="L116" s="3">
        <f t="shared" si="2"/>
        <v>10</v>
      </c>
      <c r="M116" s="3">
        <v>9</v>
      </c>
      <c r="N116" s="3">
        <f t="shared" si="3"/>
        <v>1</v>
      </c>
      <c r="O116" s="3" t="s">
        <v>19</v>
      </c>
      <c r="P116" s="13" t="s">
        <v>306</v>
      </c>
      <c r="Q116" s="9">
        <v>99532.98</v>
      </c>
      <c r="R116" s="5" t="s">
        <v>281</v>
      </c>
      <c r="S116" s="6">
        <v>3</v>
      </c>
    </row>
    <row r="117" spans="1:19" x14ac:dyDescent="0.25">
      <c r="A117" s="3">
        <v>21101593</v>
      </c>
      <c r="B117" s="3" t="s">
        <v>307</v>
      </c>
      <c r="C117" s="3" t="s">
        <v>38</v>
      </c>
      <c r="D117" s="3">
        <v>9203</v>
      </c>
      <c r="E117" s="3" t="s">
        <v>66</v>
      </c>
      <c r="F117" s="3" t="s">
        <v>420</v>
      </c>
      <c r="G117" s="4">
        <v>44253</v>
      </c>
      <c r="H117" s="4">
        <v>46203</v>
      </c>
      <c r="I117" s="3" t="s">
        <v>17</v>
      </c>
      <c r="J117" s="3" t="s">
        <v>18</v>
      </c>
      <c r="K117" s="3">
        <v>10</v>
      </c>
      <c r="L117" s="3">
        <f t="shared" si="2"/>
        <v>12</v>
      </c>
      <c r="M117" s="3">
        <v>11</v>
      </c>
      <c r="N117" s="3">
        <f t="shared" si="3"/>
        <v>1</v>
      </c>
      <c r="O117" s="3" t="s">
        <v>19</v>
      </c>
      <c r="P117" s="13" t="s">
        <v>308</v>
      </c>
      <c r="Q117" s="9">
        <v>70523.62</v>
      </c>
      <c r="R117" s="5" t="s">
        <v>281</v>
      </c>
      <c r="S117" s="6">
        <v>3</v>
      </c>
    </row>
    <row r="118" spans="1:19" x14ac:dyDescent="0.25">
      <c r="A118" s="3">
        <v>22280054</v>
      </c>
      <c r="B118" s="3" t="s">
        <v>309</v>
      </c>
      <c r="C118" s="3" t="s">
        <v>15</v>
      </c>
      <c r="D118" s="3" t="s">
        <v>59</v>
      </c>
      <c r="E118" s="3" t="s">
        <v>48</v>
      </c>
      <c r="F118" s="3" t="s">
        <v>48</v>
      </c>
      <c r="G118" s="4">
        <v>45139</v>
      </c>
      <c r="H118" s="4">
        <v>46204</v>
      </c>
      <c r="I118" s="3" t="s">
        <v>80</v>
      </c>
      <c r="J118" s="3" t="s">
        <v>18</v>
      </c>
      <c r="K118" s="3">
        <v>8</v>
      </c>
      <c r="L118" s="3">
        <f t="shared" si="2"/>
        <v>10</v>
      </c>
      <c r="M118" s="3">
        <v>6</v>
      </c>
      <c r="N118" s="3">
        <f t="shared" si="3"/>
        <v>4</v>
      </c>
      <c r="O118" s="3" t="s">
        <v>19</v>
      </c>
      <c r="P118" s="13" t="s">
        <v>190</v>
      </c>
      <c r="Q118" s="9">
        <v>36745.230000000003</v>
      </c>
      <c r="R118" s="5" t="s">
        <v>281</v>
      </c>
      <c r="S118" s="6">
        <v>3</v>
      </c>
    </row>
    <row r="119" spans="1:19" x14ac:dyDescent="0.25">
      <c r="A119" s="3">
        <v>22105410</v>
      </c>
      <c r="B119" s="3" t="s">
        <v>310</v>
      </c>
      <c r="C119" s="3" t="s">
        <v>38</v>
      </c>
      <c r="D119" s="3">
        <v>9617</v>
      </c>
      <c r="E119" s="3" t="s">
        <v>201</v>
      </c>
      <c r="F119" s="3" t="s">
        <v>201</v>
      </c>
      <c r="G119" s="4">
        <v>44809</v>
      </c>
      <c r="H119" s="4">
        <v>46023</v>
      </c>
      <c r="I119" s="3" t="s">
        <v>29</v>
      </c>
      <c r="J119" s="3" t="s">
        <v>18</v>
      </c>
      <c r="K119" s="3">
        <v>8</v>
      </c>
      <c r="L119" s="3">
        <f t="shared" si="2"/>
        <v>10</v>
      </c>
      <c r="M119" s="3">
        <v>8</v>
      </c>
      <c r="N119" s="3">
        <f t="shared" si="3"/>
        <v>2</v>
      </c>
      <c r="O119" s="3" t="s">
        <v>19</v>
      </c>
      <c r="P119" s="13" t="s">
        <v>311</v>
      </c>
      <c r="Q119" s="9">
        <v>114926.39999999999</v>
      </c>
      <c r="R119" s="5" t="s">
        <v>281</v>
      </c>
      <c r="S119" s="6">
        <v>3</v>
      </c>
    </row>
    <row r="120" spans="1:19" x14ac:dyDescent="0.25">
      <c r="A120" s="3">
        <v>23280310</v>
      </c>
      <c r="B120" s="3" t="s">
        <v>312</v>
      </c>
      <c r="C120" s="3" t="s">
        <v>15</v>
      </c>
      <c r="D120" s="3">
        <v>9201</v>
      </c>
      <c r="E120" s="3" t="s">
        <v>146</v>
      </c>
      <c r="F120" s="3" t="s">
        <v>420</v>
      </c>
      <c r="G120" s="4">
        <v>45146</v>
      </c>
      <c r="H120" s="4">
        <v>46204</v>
      </c>
      <c r="I120" s="3" t="s">
        <v>80</v>
      </c>
      <c r="J120" s="3" t="s">
        <v>18</v>
      </c>
      <c r="K120" s="3">
        <v>10</v>
      </c>
      <c r="L120" s="3">
        <f t="shared" si="2"/>
        <v>12</v>
      </c>
      <c r="M120" s="3">
        <v>6</v>
      </c>
      <c r="N120" s="3">
        <f t="shared" si="3"/>
        <v>6</v>
      </c>
      <c r="O120" s="3" t="s">
        <v>19</v>
      </c>
      <c r="P120" s="13" t="s">
        <v>313</v>
      </c>
      <c r="Q120" s="9">
        <v>46310.45</v>
      </c>
      <c r="R120" s="5" t="s">
        <v>281</v>
      </c>
      <c r="S120" s="6">
        <v>3</v>
      </c>
    </row>
    <row r="121" spans="1:19" x14ac:dyDescent="0.25">
      <c r="A121" s="3">
        <v>21200540</v>
      </c>
      <c r="B121" s="3" t="s">
        <v>314</v>
      </c>
      <c r="C121" s="3" t="s">
        <v>15</v>
      </c>
      <c r="D121" s="3">
        <v>4804</v>
      </c>
      <c r="E121" s="3" t="s">
        <v>154</v>
      </c>
      <c r="F121" s="3" t="s">
        <v>154</v>
      </c>
      <c r="G121" s="4">
        <v>45135</v>
      </c>
      <c r="H121" s="4">
        <v>46204</v>
      </c>
      <c r="I121" s="3" t="s">
        <v>80</v>
      </c>
      <c r="J121" s="3" t="s">
        <v>18</v>
      </c>
      <c r="K121" s="3">
        <v>10</v>
      </c>
      <c r="L121" s="3">
        <f t="shared" si="2"/>
        <v>12</v>
      </c>
      <c r="M121" s="3">
        <v>6</v>
      </c>
      <c r="N121" s="3">
        <f t="shared" si="3"/>
        <v>6</v>
      </c>
      <c r="O121" s="3" t="s">
        <v>19</v>
      </c>
      <c r="P121" s="13" t="s">
        <v>315</v>
      </c>
      <c r="Q121" s="9">
        <v>64333.08</v>
      </c>
      <c r="R121" s="5" t="s">
        <v>281</v>
      </c>
      <c r="S121" s="6">
        <v>3</v>
      </c>
    </row>
    <row r="122" spans="1:19" x14ac:dyDescent="0.25">
      <c r="A122" s="3">
        <v>22280152</v>
      </c>
      <c r="B122" s="3" t="s">
        <v>316</v>
      </c>
      <c r="C122" s="3" t="s">
        <v>15</v>
      </c>
      <c r="D122" s="3" t="s">
        <v>40</v>
      </c>
      <c r="E122" s="3" t="s">
        <v>41</v>
      </c>
      <c r="F122" s="3" t="s">
        <v>415</v>
      </c>
      <c r="G122" s="4">
        <v>45317</v>
      </c>
      <c r="H122" s="4">
        <v>46204</v>
      </c>
      <c r="I122" s="3" t="s">
        <v>26</v>
      </c>
      <c r="J122" s="3" t="s">
        <v>18</v>
      </c>
      <c r="K122" s="3">
        <v>8</v>
      </c>
      <c r="L122" s="3">
        <f t="shared" si="2"/>
        <v>10</v>
      </c>
      <c r="M122" s="3">
        <v>5</v>
      </c>
      <c r="N122" s="3">
        <f t="shared" si="3"/>
        <v>5</v>
      </c>
      <c r="O122" s="3" t="s">
        <v>19</v>
      </c>
      <c r="P122" s="13" t="s">
        <v>317</v>
      </c>
      <c r="Q122" s="9">
        <v>33786.51</v>
      </c>
      <c r="R122" s="5" t="s">
        <v>281</v>
      </c>
      <c r="S122" s="6">
        <v>3</v>
      </c>
    </row>
    <row r="123" spans="1:19" x14ac:dyDescent="0.25">
      <c r="A123" s="3">
        <v>22107680</v>
      </c>
      <c r="B123" s="3" t="s">
        <v>318</v>
      </c>
      <c r="C123" s="3" t="s">
        <v>38</v>
      </c>
      <c r="D123" s="3" t="s">
        <v>40</v>
      </c>
      <c r="E123" s="3" t="s">
        <v>41</v>
      </c>
      <c r="F123" s="3" t="s">
        <v>415</v>
      </c>
      <c r="G123" s="4">
        <v>44615</v>
      </c>
      <c r="H123" s="4">
        <v>46023</v>
      </c>
      <c r="I123" s="3" t="s">
        <v>56</v>
      </c>
      <c r="J123" s="3" t="s">
        <v>18</v>
      </c>
      <c r="K123" s="3">
        <v>8</v>
      </c>
      <c r="L123" s="3">
        <f t="shared" si="2"/>
        <v>10</v>
      </c>
      <c r="M123" s="3">
        <v>9</v>
      </c>
      <c r="N123" s="3">
        <f t="shared" si="3"/>
        <v>1</v>
      </c>
      <c r="O123" s="3" t="s">
        <v>19</v>
      </c>
      <c r="P123" s="13" t="s">
        <v>317</v>
      </c>
      <c r="Q123" s="9">
        <v>89085.1</v>
      </c>
      <c r="R123" s="5" t="s">
        <v>281</v>
      </c>
      <c r="S123" s="6">
        <v>3</v>
      </c>
    </row>
    <row r="124" spans="1:19" x14ac:dyDescent="0.25">
      <c r="A124" s="3">
        <v>16110320</v>
      </c>
      <c r="B124" s="3" t="s">
        <v>319</v>
      </c>
      <c r="C124" s="3" t="s">
        <v>15</v>
      </c>
      <c r="D124" s="3">
        <v>4455</v>
      </c>
      <c r="E124" s="3" t="s">
        <v>320</v>
      </c>
      <c r="F124" s="3" t="s">
        <v>422</v>
      </c>
      <c r="G124" s="4">
        <v>42576</v>
      </c>
      <c r="H124" s="4">
        <v>46178</v>
      </c>
      <c r="I124" s="3" t="s">
        <v>261</v>
      </c>
      <c r="J124" s="3" t="s">
        <v>18</v>
      </c>
      <c r="K124" s="3">
        <v>10</v>
      </c>
      <c r="L124" s="3">
        <f t="shared" si="2"/>
        <v>12</v>
      </c>
      <c r="M124" s="3">
        <v>20</v>
      </c>
      <c r="N124" s="3">
        <f t="shared" si="3"/>
        <v>-8</v>
      </c>
      <c r="O124" s="3" t="s">
        <v>19</v>
      </c>
      <c r="P124" s="13">
        <v>0.59</v>
      </c>
      <c r="Q124" s="9">
        <v>120524.97</v>
      </c>
      <c r="R124" s="5" t="s">
        <v>281</v>
      </c>
      <c r="S124" s="6">
        <v>3</v>
      </c>
    </row>
    <row r="125" spans="1:19" x14ac:dyDescent="0.25">
      <c r="A125" s="3">
        <v>18104598</v>
      </c>
      <c r="B125" s="3" t="s">
        <v>321</v>
      </c>
      <c r="C125" s="3" t="s">
        <v>38</v>
      </c>
      <c r="D125" s="3" t="s">
        <v>322</v>
      </c>
      <c r="E125" s="3" t="s">
        <v>323</v>
      </c>
      <c r="F125" s="3" t="s">
        <v>426</v>
      </c>
      <c r="G125" s="4">
        <v>43178</v>
      </c>
      <c r="H125" s="4">
        <v>44742</v>
      </c>
      <c r="I125" s="3" t="s">
        <v>155</v>
      </c>
      <c r="J125" s="3" t="s">
        <v>18</v>
      </c>
      <c r="K125" s="3">
        <v>8</v>
      </c>
      <c r="L125" s="3">
        <f t="shared" si="2"/>
        <v>10</v>
      </c>
      <c r="M125" s="3">
        <v>17</v>
      </c>
      <c r="N125" s="3">
        <f t="shared" si="3"/>
        <v>-7</v>
      </c>
      <c r="O125" s="3" t="s">
        <v>19</v>
      </c>
      <c r="P125" s="13" t="s">
        <v>324</v>
      </c>
      <c r="Q125" s="9">
        <v>79191.679999999993</v>
      </c>
      <c r="R125" s="5" t="s">
        <v>281</v>
      </c>
      <c r="S125" s="6">
        <v>3</v>
      </c>
    </row>
    <row r="126" spans="1:19" x14ac:dyDescent="0.25">
      <c r="A126" s="3">
        <v>22280190</v>
      </c>
      <c r="B126" s="3" t="s">
        <v>325</v>
      </c>
      <c r="C126" s="3" t="s">
        <v>15</v>
      </c>
      <c r="D126" s="3" t="s">
        <v>173</v>
      </c>
      <c r="E126" s="3" t="s">
        <v>174</v>
      </c>
      <c r="F126" s="3" t="s">
        <v>412</v>
      </c>
      <c r="G126" s="4">
        <v>44950</v>
      </c>
      <c r="H126" s="4">
        <v>46204</v>
      </c>
      <c r="I126" s="3" t="s">
        <v>70</v>
      </c>
      <c r="J126" s="3" t="s">
        <v>18</v>
      </c>
      <c r="K126" s="3">
        <v>8</v>
      </c>
      <c r="L126" s="3">
        <f t="shared" si="2"/>
        <v>10</v>
      </c>
      <c r="M126" s="3">
        <v>7</v>
      </c>
      <c r="N126" s="3">
        <f t="shared" si="3"/>
        <v>3</v>
      </c>
      <c r="O126" s="3" t="s">
        <v>19</v>
      </c>
      <c r="P126" s="13" t="s">
        <v>326</v>
      </c>
      <c r="Q126" s="9">
        <v>55278.92</v>
      </c>
      <c r="R126" s="5" t="s">
        <v>281</v>
      </c>
      <c r="S126" s="6">
        <v>3</v>
      </c>
    </row>
    <row r="127" spans="1:19" x14ac:dyDescent="0.25">
      <c r="A127" s="3">
        <v>22103796</v>
      </c>
      <c r="B127" s="3" t="s">
        <v>327</v>
      </c>
      <c r="C127" s="3" t="s">
        <v>38</v>
      </c>
      <c r="D127" s="3">
        <v>9203</v>
      </c>
      <c r="E127" s="3" t="s">
        <v>66</v>
      </c>
      <c r="F127" s="3" t="s">
        <v>420</v>
      </c>
      <c r="G127" s="4">
        <v>44767</v>
      </c>
      <c r="H127" s="4">
        <v>46204</v>
      </c>
      <c r="I127" s="3" t="s">
        <v>29</v>
      </c>
      <c r="J127" s="3" t="s">
        <v>18</v>
      </c>
      <c r="K127" s="3">
        <v>10</v>
      </c>
      <c r="L127" s="3">
        <f t="shared" si="2"/>
        <v>12</v>
      </c>
      <c r="M127" s="3">
        <v>8</v>
      </c>
      <c r="N127" s="3">
        <f t="shared" si="3"/>
        <v>4</v>
      </c>
      <c r="O127" s="3" t="s">
        <v>19</v>
      </c>
      <c r="P127" s="13" t="s">
        <v>328</v>
      </c>
      <c r="Q127" s="9">
        <v>93728.83</v>
      </c>
      <c r="R127" s="5" t="s">
        <v>281</v>
      </c>
      <c r="S127" s="6">
        <v>3</v>
      </c>
    </row>
    <row r="128" spans="1:19" x14ac:dyDescent="0.25">
      <c r="A128" s="3">
        <v>22280465</v>
      </c>
      <c r="B128" s="3" t="s">
        <v>329</v>
      </c>
      <c r="C128" s="3" t="s">
        <v>15</v>
      </c>
      <c r="D128" s="3" t="s">
        <v>59</v>
      </c>
      <c r="E128" s="3" t="s">
        <v>48</v>
      </c>
      <c r="F128" s="3" t="s">
        <v>48</v>
      </c>
      <c r="G128" s="4">
        <v>44806</v>
      </c>
      <c r="H128" s="4">
        <v>46023</v>
      </c>
      <c r="I128" s="3" t="s">
        <v>29</v>
      </c>
      <c r="J128" s="3" t="s">
        <v>18</v>
      </c>
      <c r="K128" s="3">
        <v>8</v>
      </c>
      <c r="L128" s="3">
        <f t="shared" si="2"/>
        <v>10</v>
      </c>
      <c r="M128" s="3">
        <v>8</v>
      </c>
      <c r="N128" s="3">
        <f t="shared" si="3"/>
        <v>2</v>
      </c>
      <c r="O128" s="3" t="s">
        <v>19</v>
      </c>
      <c r="P128" s="13" t="s">
        <v>330</v>
      </c>
      <c r="Q128" s="9">
        <v>67230.149999999994</v>
      </c>
      <c r="R128" s="5" t="s">
        <v>281</v>
      </c>
      <c r="S128" s="6">
        <v>3</v>
      </c>
    </row>
    <row r="129" spans="1:19" x14ac:dyDescent="0.25">
      <c r="A129" s="3">
        <v>22103219</v>
      </c>
      <c r="B129" s="3" t="s">
        <v>331</v>
      </c>
      <c r="C129" s="3" t="s">
        <v>38</v>
      </c>
      <c r="D129" s="3" t="s">
        <v>59</v>
      </c>
      <c r="E129" s="3" t="s">
        <v>48</v>
      </c>
      <c r="F129" s="3" t="s">
        <v>48</v>
      </c>
      <c r="G129" s="4">
        <v>44567</v>
      </c>
      <c r="H129" s="4">
        <v>46028</v>
      </c>
      <c r="I129" s="3" t="s">
        <v>56</v>
      </c>
      <c r="J129" s="3" t="s">
        <v>18</v>
      </c>
      <c r="K129" s="3">
        <v>8</v>
      </c>
      <c r="L129" s="3">
        <f t="shared" si="2"/>
        <v>10</v>
      </c>
      <c r="M129" s="3">
        <v>9</v>
      </c>
      <c r="N129" s="3">
        <f t="shared" si="3"/>
        <v>1</v>
      </c>
      <c r="O129" s="3" t="s">
        <v>19</v>
      </c>
      <c r="P129" s="13" t="s">
        <v>330</v>
      </c>
      <c r="Q129" s="9">
        <v>128489.77</v>
      </c>
      <c r="R129" s="5" t="s">
        <v>281</v>
      </c>
      <c r="S129" s="6">
        <v>3</v>
      </c>
    </row>
    <row r="130" spans="1:19" x14ac:dyDescent="0.25">
      <c r="A130" s="3">
        <v>22110491</v>
      </c>
      <c r="B130" s="3" t="s">
        <v>332</v>
      </c>
      <c r="C130" s="3" t="s">
        <v>15</v>
      </c>
      <c r="D130" s="3">
        <v>2553</v>
      </c>
      <c r="E130" s="3" t="s">
        <v>333</v>
      </c>
      <c r="F130" s="3" t="s">
        <v>413</v>
      </c>
      <c r="G130" s="4">
        <v>44645</v>
      </c>
      <c r="H130" s="4">
        <v>46023</v>
      </c>
      <c r="I130" s="3" t="s">
        <v>56</v>
      </c>
      <c r="J130" s="3" t="s">
        <v>18</v>
      </c>
      <c r="K130" s="3">
        <v>8</v>
      </c>
      <c r="L130" s="3">
        <f t="shared" si="2"/>
        <v>10</v>
      </c>
      <c r="M130" s="3">
        <v>9</v>
      </c>
      <c r="N130" s="3">
        <f t="shared" si="3"/>
        <v>1</v>
      </c>
      <c r="O130" s="3" t="s">
        <v>19</v>
      </c>
      <c r="P130" s="13" t="s">
        <v>334</v>
      </c>
      <c r="Q130" s="9">
        <v>91124.160000000003</v>
      </c>
      <c r="R130" s="5" t="s">
        <v>281</v>
      </c>
      <c r="S130" s="6">
        <v>3</v>
      </c>
    </row>
    <row r="131" spans="1:19" x14ac:dyDescent="0.25">
      <c r="A131" s="3">
        <v>22200536</v>
      </c>
      <c r="B131" s="3" t="s">
        <v>335</v>
      </c>
      <c r="C131" s="3" t="s">
        <v>15</v>
      </c>
      <c r="D131" s="3" t="s">
        <v>59</v>
      </c>
      <c r="E131" s="3" t="s">
        <v>48</v>
      </c>
      <c r="F131" s="3" t="s">
        <v>48</v>
      </c>
      <c r="G131" s="4">
        <v>44755</v>
      </c>
      <c r="H131" s="4">
        <v>46204</v>
      </c>
      <c r="I131" s="3" t="s">
        <v>29</v>
      </c>
      <c r="J131" s="3" t="s">
        <v>18</v>
      </c>
      <c r="K131" s="3">
        <v>8</v>
      </c>
      <c r="L131" s="3">
        <f t="shared" ref="L131:L163" si="4">K131+2</f>
        <v>10</v>
      </c>
      <c r="M131" s="3">
        <v>8</v>
      </c>
      <c r="N131" s="3">
        <f t="shared" ref="N131:N163" si="5">L131-M131</f>
        <v>2</v>
      </c>
      <c r="O131" s="3" t="s">
        <v>19</v>
      </c>
      <c r="P131" s="13" t="s">
        <v>336</v>
      </c>
      <c r="Q131" s="9">
        <v>74060.259999999995</v>
      </c>
      <c r="R131" s="5" t="s">
        <v>281</v>
      </c>
      <c r="S131" s="6">
        <v>3</v>
      </c>
    </row>
    <row r="132" spans="1:19" x14ac:dyDescent="0.25">
      <c r="A132" s="3">
        <v>21101891</v>
      </c>
      <c r="B132" s="3" t="s">
        <v>337</v>
      </c>
      <c r="C132" s="3" t="s">
        <v>15</v>
      </c>
      <c r="D132" s="3" t="s">
        <v>188</v>
      </c>
      <c r="E132" s="3" t="s">
        <v>189</v>
      </c>
      <c r="F132" s="3" t="s">
        <v>189</v>
      </c>
      <c r="G132" s="4">
        <v>44252</v>
      </c>
      <c r="H132" s="4">
        <v>46078</v>
      </c>
      <c r="I132" s="3" t="s">
        <v>17</v>
      </c>
      <c r="J132" s="3" t="s">
        <v>18</v>
      </c>
      <c r="K132" s="3">
        <v>10</v>
      </c>
      <c r="L132" s="3">
        <f t="shared" si="4"/>
        <v>12</v>
      </c>
      <c r="M132" s="3">
        <v>11</v>
      </c>
      <c r="N132" s="3">
        <f t="shared" si="5"/>
        <v>1</v>
      </c>
      <c r="O132" s="3" t="s">
        <v>19</v>
      </c>
      <c r="P132" s="13" t="s">
        <v>338</v>
      </c>
      <c r="Q132" s="9">
        <v>111509.38</v>
      </c>
      <c r="R132" s="5" t="s">
        <v>281</v>
      </c>
      <c r="S132" s="6">
        <v>3</v>
      </c>
    </row>
    <row r="133" spans="1:19" x14ac:dyDescent="0.25">
      <c r="A133" s="3">
        <v>21104720</v>
      </c>
      <c r="B133" s="3" t="s">
        <v>339</v>
      </c>
      <c r="C133" s="3" t="s">
        <v>15</v>
      </c>
      <c r="D133" s="3">
        <v>9609</v>
      </c>
      <c r="E133" s="3" t="s">
        <v>223</v>
      </c>
      <c r="F133" s="3" t="s">
        <v>223</v>
      </c>
      <c r="G133" s="4">
        <v>44244</v>
      </c>
      <c r="H133" s="4">
        <v>46070</v>
      </c>
      <c r="I133" s="3" t="s">
        <v>17</v>
      </c>
      <c r="J133" s="3" t="s">
        <v>18</v>
      </c>
      <c r="K133" s="3">
        <v>10</v>
      </c>
      <c r="L133" s="3">
        <f t="shared" si="4"/>
        <v>12</v>
      </c>
      <c r="M133" s="3">
        <v>11</v>
      </c>
      <c r="N133" s="3">
        <f t="shared" si="5"/>
        <v>1</v>
      </c>
      <c r="O133" s="3" t="s">
        <v>19</v>
      </c>
      <c r="P133" s="13" t="s">
        <v>340</v>
      </c>
      <c r="Q133" s="9">
        <v>183769.82</v>
      </c>
      <c r="R133" s="5" t="s">
        <v>281</v>
      </c>
      <c r="S133" s="6">
        <v>3</v>
      </c>
    </row>
    <row r="134" spans="1:19" x14ac:dyDescent="0.25">
      <c r="A134" s="3">
        <v>21101017</v>
      </c>
      <c r="B134" s="3" t="s">
        <v>341</v>
      </c>
      <c r="C134" s="3" t="s">
        <v>15</v>
      </c>
      <c r="D134" s="3">
        <v>4804</v>
      </c>
      <c r="E134" s="3" t="s">
        <v>154</v>
      </c>
      <c r="F134" s="3" t="s">
        <v>154</v>
      </c>
      <c r="G134" s="4">
        <v>44250</v>
      </c>
      <c r="H134" s="4">
        <v>46076</v>
      </c>
      <c r="I134" s="3" t="s">
        <v>17</v>
      </c>
      <c r="J134" s="3" t="s">
        <v>18</v>
      </c>
      <c r="K134" s="3">
        <v>10</v>
      </c>
      <c r="L134" s="3">
        <f t="shared" si="4"/>
        <v>12</v>
      </c>
      <c r="M134" s="3">
        <v>11</v>
      </c>
      <c r="N134" s="3">
        <f t="shared" si="5"/>
        <v>1</v>
      </c>
      <c r="O134" s="3" t="s">
        <v>19</v>
      </c>
      <c r="P134" s="13" t="s">
        <v>342</v>
      </c>
      <c r="Q134" s="9">
        <v>134199.21</v>
      </c>
      <c r="R134" s="5" t="s">
        <v>281</v>
      </c>
      <c r="S134" s="6">
        <v>3</v>
      </c>
    </row>
    <row r="135" spans="1:19" x14ac:dyDescent="0.25">
      <c r="A135" s="3">
        <v>20106282</v>
      </c>
      <c r="B135" s="3" t="s">
        <v>343</v>
      </c>
      <c r="C135" s="3" t="s">
        <v>15</v>
      </c>
      <c r="D135" s="3">
        <v>2425</v>
      </c>
      <c r="E135" s="3" t="s">
        <v>146</v>
      </c>
      <c r="F135" s="3" t="s">
        <v>420</v>
      </c>
      <c r="G135" s="4">
        <v>43867</v>
      </c>
      <c r="H135" s="4">
        <v>46178</v>
      </c>
      <c r="I135" s="3" t="s">
        <v>49</v>
      </c>
      <c r="J135" s="3" t="s">
        <v>18</v>
      </c>
      <c r="K135" s="3">
        <v>10</v>
      </c>
      <c r="L135" s="3">
        <f t="shared" si="4"/>
        <v>12</v>
      </c>
      <c r="M135" s="3">
        <v>13</v>
      </c>
      <c r="N135" s="3">
        <f t="shared" si="5"/>
        <v>-1</v>
      </c>
      <c r="O135" s="3" t="s">
        <v>19</v>
      </c>
      <c r="P135" s="13" t="s">
        <v>344</v>
      </c>
      <c r="Q135" s="9">
        <v>68296.53</v>
      </c>
      <c r="R135" s="5" t="s">
        <v>281</v>
      </c>
      <c r="S135" s="6">
        <v>3</v>
      </c>
    </row>
    <row r="136" spans="1:19" x14ac:dyDescent="0.25">
      <c r="A136" s="3">
        <v>20280526</v>
      </c>
      <c r="B136" s="3" t="s">
        <v>345</v>
      </c>
      <c r="C136" s="3" t="s">
        <v>15</v>
      </c>
      <c r="D136" s="3">
        <v>1310</v>
      </c>
      <c r="E136" s="3" t="s">
        <v>52</v>
      </c>
      <c r="F136" s="3" t="s">
        <v>428</v>
      </c>
      <c r="G136" s="4">
        <v>44063</v>
      </c>
      <c r="H136" s="4">
        <v>46178</v>
      </c>
      <c r="I136" s="3" t="s">
        <v>53</v>
      </c>
      <c r="J136" s="3" t="s">
        <v>18</v>
      </c>
      <c r="K136" s="3">
        <v>10</v>
      </c>
      <c r="L136" s="3">
        <f t="shared" si="4"/>
        <v>12</v>
      </c>
      <c r="M136" s="3">
        <v>12</v>
      </c>
      <c r="N136" s="3">
        <f t="shared" si="5"/>
        <v>0</v>
      </c>
      <c r="O136" s="3" t="s">
        <v>19</v>
      </c>
      <c r="P136" s="13" t="s">
        <v>346</v>
      </c>
      <c r="Q136" s="9">
        <v>88334.73</v>
      </c>
      <c r="R136" s="5" t="s">
        <v>281</v>
      </c>
      <c r="S136" s="6">
        <v>3</v>
      </c>
    </row>
    <row r="137" spans="1:19" x14ac:dyDescent="0.25">
      <c r="A137" s="3">
        <v>22200840</v>
      </c>
      <c r="B137" s="3" t="s">
        <v>347</v>
      </c>
      <c r="C137" s="3" t="s">
        <v>38</v>
      </c>
      <c r="D137" s="3">
        <v>2553</v>
      </c>
      <c r="E137" s="3" t="s">
        <v>333</v>
      </c>
      <c r="F137" s="3" t="s">
        <v>413</v>
      </c>
      <c r="G137" s="4">
        <v>44781</v>
      </c>
      <c r="H137" s="4">
        <v>46023</v>
      </c>
      <c r="I137" s="3" t="s">
        <v>29</v>
      </c>
      <c r="J137" s="3" t="s">
        <v>18</v>
      </c>
      <c r="K137" s="3">
        <v>8</v>
      </c>
      <c r="L137" s="3">
        <f t="shared" si="4"/>
        <v>10</v>
      </c>
      <c r="M137" s="3">
        <v>8</v>
      </c>
      <c r="N137" s="3">
        <f t="shared" si="5"/>
        <v>2</v>
      </c>
      <c r="O137" s="3" t="s">
        <v>19</v>
      </c>
      <c r="P137" s="13">
        <v>0.34</v>
      </c>
      <c r="Q137" s="9">
        <v>92300.75</v>
      </c>
      <c r="R137" s="5" t="s">
        <v>348</v>
      </c>
      <c r="S137" s="6">
        <v>4</v>
      </c>
    </row>
    <row r="138" spans="1:19" x14ac:dyDescent="0.25">
      <c r="A138" s="3">
        <v>22107275</v>
      </c>
      <c r="B138" s="3" t="s">
        <v>349</v>
      </c>
      <c r="C138" s="3" t="s">
        <v>15</v>
      </c>
      <c r="D138" s="3" t="s">
        <v>59</v>
      </c>
      <c r="E138" s="3" t="s">
        <v>48</v>
      </c>
      <c r="F138" s="3" t="s">
        <v>48</v>
      </c>
      <c r="G138" s="4">
        <v>44643</v>
      </c>
      <c r="H138" s="4">
        <v>46023</v>
      </c>
      <c r="I138" s="3" t="s">
        <v>56</v>
      </c>
      <c r="J138" s="3" t="s">
        <v>18</v>
      </c>
      <c r="K138" s="3">
        <v>8</v>
      </c>
      <c r="L138" s="3">
        <f t="shared" si="4"/>
        <v>10</v>
      </c>
      <c r="M138" s="3">
        <v>9</v>
      </c>
      <c r="N138" s="3">
        <f t="shared" si="5"/>
        <v>1</v>
      </c>
      <c r="O138" s="3" t="s">
        <v>19</v>
      </c>
      <c r="P138" s="13" t="s">
        <v>350</v>
      </c>
      <c r="Q138" s="9">
        <v>84194.12</v>
      </c>
      <c r="R138" s="5" t="s">
        <v>348</v>
      </c>
      <c r="S138" s="6">
        <v>4</v>
      </c>
    </row>
    <row r="139" spans="1:19" x14ac:dyDescent="0.25">
      <c r="A139" s="3">
        <v>20105057</v>
      </c>
      <c r="B139" s="3" t="s">
        <v>351</v>
      </c>
      <c r="C139" s="3" t="s">
        <v>38</v>
      </c>
      <c r="D139" s="3">
        <v>2425</v>
      </c>
      <c r="E139" s="3" t="s">
        <v>146</v>
      </c>
      <c r="F139" s="3" t="s">
        <v>420</v>
      </c>
      <c r="G139" s="4">
        <v>43854</v>
      </c>
      <c r="H139" s="4">
        <v>45996</v>
      </c>
      <c r="I139" s="3" t="s">
        <v>49</v>
      </c>
      <c r="J139" s="3" t="s">
        <v>18</v>
      </c>
      <c r="K139" s="3">
        <v>10</v>
      </c>
      <c r="L139" s="3">
        <f t="shared" si="4"/>
        <v>12</v>
      </c>
      <c r="M139" s="3">
        <v>13</v>
      </c>
      <c r="N139" s="3">
        <f t="shared" si="5"/>
        <v>-1</v>
      </c>
      <c r="O139" s="3" t="s">
        <v>19</v>
      </c>
      <c r="P139" s="13" t="s">
        <v>352</v>
      </c>
      <c r="Q139" s="9">
        <v>125617.74</v>
      </c>
      <c r="R139" s="5" t="s">
        <v>348</v>
      </c>
      <c r="S139" s="6">
        <v>4</v>
      </c>
    </row>
    <row r="140" spans="1:19" x14ac:dyDescent="0.25">
      <c r="A140" s="3">
        <v>21103128</v>
      </c>
      <c r="B140" s="3" t="s">
        <v>353</v>
      </c>
      <c r="C140" s="3" t="s">
        <v>15</v>
      </c>
      <c r="D140" s="3">
        <v>4451</v>
      </c>
      <c r="E140" s="3" t="s">
        <v>220</v>
      </c>
      <c r="F140" s="3" t="s">
        <v>220</v>
      </c>
      <c r="G140" s="4">
        <v>44249</v>
      </c>
      <c r="H140" s="4">
        <v>46075</v>
      </c>
      <c r="I140" s="3" t="s">
        <v>17</v>
      </c>
      <c r="J140" s="3" t="s">
        <v>18</v>
      </c>
      <c r="K140" s="3">
        <v>10</v>
      </c>
      <c r="L140" s="3">
        <f t="shared" si="4"/>
        <v>12</v>
      </c>
      <c r="M140" s="3">
        <v>11</v>
      </c>
      <c r="N140" s="3">
        <f t="shared" si="5"/>
        <v>1</v>
      </c>
      <c r="O140" s="3" t="s">
        <v>19</v>
      </c>
      <c r="P140" s="13" t="s">
        <v>354</v>
      </c>
      <c r="Q140" s="9">
        <v>94796.44</v>
      </c>
      <c r="R140" s="5" t="s">
        <v>348</v>
      </c>
      <c r="S140" s="6">
        <v>4</v>
      </c>
    </row>
    <row r="141" spans="1:19" x14ac:dyDescent="0.25">
      <c r="A141" s="3">
        <v>21201429</v>
      </c>
      <c r="B141" s="3" t="s">
        <v>355</v>
      </c>
      <c r="C141" s="3" t="s">
        <v>15</v>
      </c>
      <c r="D141" s="3">
        <v>9201</v>
      </c>
      <c r="E141" s="3" t="s">
        <v>146</v>
      </c>
      <c r="F141" s="3" t="s">
        <v>420</v>
      </c>
      <c r="G141" s="4">
        <v>44420</v>
      </c>
      <c r="H141" s="4">
        <v>46246</v>
      </c>
      <c r="I141" s="3" t="s">
        <v>23</v>
      </c>
      <c r="J141" s="3" t="s">
        <v>18</v>
      </c>
      <c r="K141" s="3">
        <v>10</v>
      </c>
      <c r="L141" s="3">
        <f t="shared" si="4"/>
        <v>12</v>
      </c>
      <c r="M141" s="3">
        <v>10</v>
      </c>
      <c r="N141" s="3">
        <f t="shared" si="5"/>
        <v>2</v>
      </c>
      <c r="O141" s="3" t="s">
        <v>19</v>
      </c>
      <c r="P141" s="13" t="s">
        <v>356</v>
      </c>
      <c r="Q141" s="9">
        <v>133618.9</v>
      </c>
      <c r="R141" s="5" t="s">
        <v>348</v>
      </c>
      <c r="S141" s="6">
        <v>4</v>
      </c>
    </row>
    <row r="142" spans="1:19" x14ac:dyDescent="0.25">
      <c r="A142" s="3">
        <v>20102830</v>
      </c>
      <c r="B142" s="3" t="s">
        <v>357</v>
      </c>
      <c r="C142" s="3" t="s">
        <v>15</v>
      </c>
      <c r="D142" s="3">
        <v>4452</v>
      </c>
      <c r="E142" s="3" t="s">
        <v>260</v>
      </c>
      <c r="F142" s="3" t="s">
        <v>425</v>
      </c>
      <c r="G142" s="4">
        <v>43857</v>
      </c>
      <c r="H142" s="4">
        <v>46178</v>
      </c>
      <c r="I142" s="3" t="s">
        <v>49</v>
      </c>
      <c r="J142" s="3" t="s">
        <v>18</v>
      </c>
      <c r="K142" s="3">
        <v>10</v>
      </c>
      <c r="L142" s="3">
        <f t="shared" si="4"/>
        <v>12</v>
      </c>
      <c r="M142" s="3">
        <v>13</v>
      </c>
      <c r="N142" s="3">
        <f t="shared" si="5"/>
        <v>-1</v>
      </c>
      <c r="O142" s="3" t="s">
        <v>19</v>
      </c>
      <c r="P142" s="13" t="s">
        <v>358</v>
      </c>
      <c r="Q142" s="9">
        <v>114814.7</v>
      </c>
      <c r="R142" s="5" t="s">
        <v>348</v>
      </c>
      <c r="S142" s="6">
        <v>4</v>
      </c>
    </row>
    <row r="143" spans="1:19" x14ac:dyDescent="0.25">
      <c r="A143" s="3">
        <v>19280449</v>
      </c>
      <c r="B143" s="3" t="s">
        <v>359</v>
      </c>
      <c r="C143" s="3" t="s">
        <v>38</v>
      </c>
      <c r="D143" s="3">
        <v>3205</v>
      </c>
      <c r="E143" s="3" t="s">
        <v>223</v>
      </c>
      <c r="F143" s="3" t="s">
        <v>223</v>
      </c>
      <c r="G143" s="4">
        <v>44062</v>
      </c>
      <c r="H143" s="4">
        <v>45996</v>
      </c>
      <c r="I143" s="3" t="s">
        <v>53</v>
      </c>
      <c r="J143" s="3" t="s">
        <v>18</v>
      </c>
      <c r="K143" s="3">
        <v>10</v>
      </c>
      <c r="L143" s="3">
        <f t="shared" si="4"/>
        <v>12</v>
      </c>
      <c r="M143" s="3">
        <v>12</v>
      </c>
      <c r="N143" s="3">
        <f t="shared" si="5"/>
        <v>0</v>
      </c>
      <c r="O143" s="3" t="s">
        <v>19</v>
      </c>
      <c r="P143" s="13" t="s">
        <v>360</v>
      </c>
      <c r="Q143" s="9">
        <v>113540.5</v>
      </c>
      <c r="R143" s="5" t="s">
        <v>348</v>
      </c>
      <c r="S143" s="6">
        <v>4</v>
      </c>
    </row>
    <row r="144" spans="1:19" x14ac:dyDescent="0.25">
      <c r="A144" s="3">
        <v>21100492</v>
      </c>
      <c r="B144" s="3" t="s">
        <v>361</v>
      </c>
      <c r="C144" s="3" t="s">
        <v>15</v>
      </c>
      <c r="D144" s="3" t="s">
        <v>44</v>
      </c>
      <c r="E144" s="3" t="s">
        <v>45</v>
      </c>
      <c r="F144" s="3" t="s">
        <v>45</v>
      </c>
      <c r="G144" s="4">
        <v>45036</v>
      </c>
      <c r="H144" s="4">
        <v>46204</v>
      </c>
      <c r="I144" s="3" t="s">
        <v>80</v>
      </c>
      <c r="J144" s="3" t="s">
        <v>18</v>
      </c>
      <c r="K144" s="3">
        <v>8</v>
      </c>
      <c r="L144" s="3">
        <f t="shared" si="4"/>
        <v>10</v>
      </c>
      <c r="M144" s="3">
        <v>6</v>
      </c>
      <c r="N144" s="3">
        <f t="shared" si="5"/>
        <v>4</v>
      </c>
      <c r="O144" s="3" t="s">
        <v>19</v>
      </c>
      <c r="P144" s="13" t="s">
        <v>362</v>
      </c>
      <c r="Q144" s="9">
        <v>61912.800000000003</v>
      </c>
      <c r="R144" s="5" t="s">
        <v>348</v>
      </c>
      <c r="S144" s="6">
        <v>4</v>
      </c>
    </row>
    <row r="145" spans="1:19" x14ac:dyDescent="0.25">
      <c r="A145" s="3">
        <v>18103534</v>
      </c>
      <c r="B145" s="3" t="s">
        <v>363</v>
      </c>
      <c r="C145" s="3" t="s">
        <v>38</v>
      </c>
      <c r="D145" s="3">
        <v>4452</v>
      </c>
      <c r="E145" s="3" t="s">
        <v>260</v>
      </c>
      <c r="F145" s="3" t="s">
        <v>425</v>
      </c>
      <c r="G145" s="4">
        <v>43196</v>
      </c>
      <c r="H145" s="4">
        <v>45290</v>
      </c>
      <c r="I145" s="3" t="s">
        <v>155</v>
      </c>
      <c r="J145" s="3" t="s">
        <v>18</v>
      </c>
      <c r="K145" s="3">
        <v>10</v>
      </c>
      <c r="L145" s="3">
        <f t="shared" si="4"/>
        <v>12</v>
      </c>
      <c r="M145" s="3">
        <v>17</v>
      </c>
      <c r="N145" s="3">
        <f t="shared" si="5"/>
        <v>-5</v>
      </c>
      <c r="O145" s="3" t="s">
        <v>19</v>
      </c>
      <c r="P145" s="13" t="s">
        <v>364</v>
      </c>
      <c r="Q145" s="9">
        <v>200861.46</v>
      </c>
      <c r="R145" s="5" t="s">
        <v>348</v>
      </c>
      <c r="S145" s="6">
        <v>4</v>
      </c>
    </row>
    <row r="146" spans="1:19" x14ac:dyDescent="0.25">
      <c r="A146" s="3">
        <v>21103568</v>
      </c>
      <c r="B146" s="3" t="s">
        <v>365</v>
      </c>
      <c r="C146" s="3" t="s">
        <v>38</v>
      </c>
      <c r="D146" s="3">
        <v>9611</v>
      </c>
      <c r="E146" s="3" t="s">
        <v>52</v>
      </c>
      <c r="F146" s="3" t="s">
        <v>428</v>
      </c>
      <c r="G146" s="4">
        <v>44251</v>
      </c>
      <c r="H146" s="4">
        <v>46077</v>
      </c>
      <c r="I146" s="3" t="s">
        <v>17</v>
      </c>
      <c r="J146" s="3" t="s">
        <v>18</v>
      </c>
      <c r="K146" s="3">
        <v>10</v>
      </c>
      <c r="L146" s="3">
        <f t="shared" si="4"/>
        <v>12</v>
      </c>
      <c r="M146" s="3">
        <v>11</v>
      </c>
      <c r="N146" s="3">
        <f t="shared" si="5"/>
        <v>1</v>
      </c>
      <c r="O146" s="3" t="s">
        <v>19</v>
      </c>
      <c r="P146" s="13" t="s">
        <v>366</v>
      </c>
      <c r="Q146" s="9">
        <v>103822.66</v>
      </c>
      <c r="R146" s="5" t="s">
        <v>348</v>
      </c>
      <c r="S146" s="6">
        <v>4</v>
      </c>
    </row>
    <row r="147" spans="1:19" x14ac:dyDescent="0.25">
      <c r="A147" s="3">
        <v>21104538</v>
      </c>
      <c r="B147" s="3" t="s">
        <v>367</v>
      </c>
      <c r="C147" s="3" t="s">
        <v>15</v>
      </c>
      <c r="D147" s="3">
        <v>4451</v>
      </c>
      <c r="E147" s="3" t="s">
        <v>220</v>
      </c>
      <c r="F147" s="3" t="s">
        <v>220</v>
      </c>
      <c r="G147" s="4">
        <v>44252</v>
      </c>
      <c r="H147" s="4">
        <v>46078</v>
      </c>
      <c r="I147" s="3" t="s">
        <v>17</v>
      </c>
      <c r="J147" s="3" t="s">
        <v>18</v>
      </c>
      <c r="K147" s="3">
        <v>10</v>
      </c>
      <c r="L147" s="3">
        <f t="shared" si="4"/>
        <v>12</v>
      </c>
      <c r="M147" s="3">
        <v>11</v>
      </c>
      <c r="N147" s="3">
        <f t="shared" si="5"/>
        <v>1</v>
      </c>
      <c r="O147" s="3" t="s">
        <v>19</v>
      </c>
      <c r="P147" s="13" t="s">
        <v>368</v>
      </c>
      <c r="Q147" s="9">
        <v>87723.49</v>
      </c>
      <c r="R147" s="5" t="s">
        <v>348</v>
      </c>
      <c r="S147" s="6">
        <v>4</v>
      </c>
    </row>
    <row r="148" spans="1:19" x14ac:dyDescent="0.25">
      <c r="A148" s="3">
        <v>21101313</v>
      </c>
      <c r="B148" s="3" t="s">
        <v>369</v>
      </c>
      <c r="C148" s="3" t="s">
        <v>15</v>
      </c>
      <c r="D148" s="3">
        <v>9203</v>
      </c>
      <c r="E148" s="3" t="s">
        <v>66</v>
      </c>
      <c r="F148" s="3" t="s">
        <v>420</v>
      </c>
      <c r="G148" s="4">
        <v>44273</v>
      </c>
      <c r="H148" s="4">
        <v>46099</v>
      </c>
      <c r="I148" s="3" t="s">
        <v>56</v>
      </c>
      <c r="J148" s="3" t="s">
        <v>18</v>
      </c>
      <c r="K148" s="3">
        <v>10</v>
      </c>
      <c r="L148" s="3">
        <f t="shared" si="4"/>
        <v>12</v>
      </c>
      <c r="M148" s="3">
        <v>9</v>
      </c>
      <c r="N148" s="3">
        <f t="shared" si="5"/>
        <v>3</v>
      </c>
      <c r="O148" s="3" t="s">
        <v>19</v>
      </c>
      <c r="P148" s="13" t="s">
        <v>370</v>
      </c>
      <c r="Q148" s="9">
        <v>69684.27</v>
      </c>
      <c r="R148" s="5" t="s">
        <v>348</v>
      </c>
      <c r="S148" s="6">
        <v>4</v>
      </c>
    </row>
    <row r="149" spans="1:19" x14ac:dyDescent="0.25">
      <c r="A149" s="3">
        <v>21102257</v>
      </c>
      <c r="B149" s="3" t="s">
        <v>371</v>
      </c>
      <c r="C149" s="3" t="s">
        <v>38</v>
      </c>
      <c r="D149" s="3">
        <v>9613</v>
      </c>
      <c r="E149" s="3" t="s">
        <v>372</v>
      </c>
      <c r="F149" s="3" t="s">
        <v>421</v>
      </c>
      <c r="G149" s="4">
        <v>44263</v>
      </c>
      <c r="H149" s="4">
        <v>45996</v>
      </c>
      <c r="I149" s="3" t="s">
        <v>17</v>
      </c>
      <c r="J149" s="3" t="s">
        <v>18</v>
      </c>
      <c r="K149" s="3">
        <v>8</v>
      </c>
      <c r="L149" s="3">
        <f t="shared" si="4"/>
        <v>10</v>
      </c>
      <c r="M149" s="3">
        <v>11</v>
      </c>
      <c r="N149" s="3">
        <f t="shared" si="5"/>
        <v>-1</v>
      </c>
      <c r="O149" s="3" t="s">
        <v>19</v>
      </c>
      <c r="P149" s="13" t="s">
        <v>373</v>
      </c>
      <c r="Q149" s="9">
        <v>83066.759999999995</v>
      </c>
      <c r="R149" s="5" t="s">
        <v>348</v>
      </c>
      <c r="S149" s="6">
        <v>4</v>
      </c>
    </row>
    <row r="150" spans="1:19" x14ac:dyDescent="0.25">
      <c r="A150" s="3">
        <v>15201528</v>
      </c>
      <c r="B150" s="3" t="s">
        <v>374</v>
      </c>
      <c r="C150" s="3" t="s">
        <v>15</v>
      </c>
      <c r="D150" s="3">
        <v>4450</v>
      </c>
      <c r="E150" s="3" t="s">
        <v>189</v>
      </c>
      <c r="F150" s="3" t="s">
        <v>189</v>
      </c>
      <c r="G150" s="4">
        <v>42198</v>
      </c>
      <c r="H150" s="4">
        <v>46178</v>
      </c>
      <c r="I150" s="3" t="s">
        <v>375</v>
      </c>
      <c r="J150" s="3" t="s">
        <v>18</v>
      </c>
      <c r="K150" s="3">
        <v>10</v>
      </c>
      <c r="L150" s="3">
        <f t="shared" si="4"/>
        <v>12</v>
      </c>
      <c r="M150" s="3">
        <v>22</v>
      </c>
      <c r="N150" s="3">
        <f t="shared" si="5"/>
        <v>-10</v>
      </c>
      <c r="O150" s="3" t="s">
        <v>19</v>
      </c>
      <c r="P150" s="13" t="s">
        <v>376</v>
      </c>
      <c r="Q150" s="9">
        <v>194441.12</v>
      </c>
      <c r="R150" s="5" t="s">
        <v>348</v>
      </c>
      <c r="S150" s="6">
        <v>4</v>
      </c>
    </row>
    <row r="151" spans="1:19" x14ac:dyDescent="0.25">
      <c r="A151" s="3">
        <v>22103097</v>
      </c>
      <c r="B151" s="3" t="s">
        <v>377</v>
      </c>
      <c r="C151" s="3" t="s">
        <v>15</v>
      </c>
      <c r="D151" s="3" t="s">
        <v>44</v>
      </c>
      <c r="E151" s="3" t="s">
        <v>45</v>
      </c>
      <c r="F151" s="3" t="s">
        <v>45</v>
      </c>
      <c r="G151" s="4">
        <v>44600</v>
      </c>
      <c r="H151" s="4">
        <v>46204</v>
      </c>
      <c r="I151" s="3" t="s">
        <v>56</v>
      </c>
      <c r="J151" s="3" t="s">
        <v>18</v>
      </c>
      <c r="K151" s="3">
        <v>8</v>
      </c>
      <c r="L151" s="3">
        <f t="shared" si="4"/>
        <v>10</v>
      </c>
      <c r="M151" s="3">
        <v>9</v>
      </c>
      <c r="N151" s="3">
        <f t="shared" si="5"/>
        <v>1</v>
      </c>
      <c r="O151" s="3" t="s">
        <v>19</v>
      </c>
      <c r="P151" s="13" t="s">
        <v>378</v>
      </c>
      <c r="Q151" s="9">
        <v>94166.52</v>
      </c>
      <c r="R151" s="5" t="s">
        <v>379</v>
      </c>
      <c r="S151" s="6">
        <v>5</v>
      </c>
    </row>
    <row r="152" spans="1:19" x14ac:dyDescent="0.25">
      <c r="A152" s="3">
        <v>21100544</v>
      </c>
      <c r="B152" s="3" t="s">
        <v>380</v>
      </c>
      <c r="C152" s="3" t="s">
        <v>38</v>
      </c>
      <c r="D152" s="3">
        <v>9115</v>
      </c>
      <c r="E152" s="3" t="s">
        <v>303</v>
      </c>
      <c r="F152" s="3" t="s">
        <v>303</v>
      </c>
      <c r="G152" s="4">
        <v>44238</v>
      </c>
      <c r="H152" s="4">
        <v>45996</v>
      </c>
      <c r="I152" s="3" t="s">
        <v>17</v>
      </c>
      <c r="J152" s="3" t="s">
        <v>18</v>
      </c>
      <c r="K152" s="3">
        <v>8</v>
      </c>
      <c r="L152" s="3">
        <f t="shared" si="4"/>
        <v>10</v>
      </c>
      <c r="M152" s="3">
        <v>11</v>
      </c>
      <c r="N152" s="3">
        <f t="shared" si="5"/>
        <v>-1</v>
      </c>
      <c r="O152" s="3" t="s">
        <v>19</v>
      </c>
      <c r="P152" s="13" t="s">
        <v>381</v>
      </c>
      <c r="Q152" s="9">
        <v>126533.46</v>
      </c>
      <c r="R152" s="5" t="s">
        <v>379</v>
      </c>
      <c r="S152" s="6">
        <v>5</v>
      </c>
    </row>
    <row r="153" spans="1:19" x14ac:dyDescent="0.25">
      <c r="A153" s="3">
        <v>22180552</v>
      </c>
      <c r="B153" s="3" t="s">
        <v>382</v>
      </c>
      <c r="C153" s="3" t="s">
        <v>15</v>
      </c>
      <c r="D153" s="3" t="s">
        <v>219</v>
      </c>
      <c r="E153" s="3" t="s">
        <v>220</v>
      </c>
      <c r="F153" s="3" t="s">
        <v>220</v>
      </c>
      <c r="G153" s="4">
        <v>44608</v>
      </c>
      <c r="H153" s="4">
        <v>46204</v>
      </c>
      <c r="I153" s="3" t="s">
        <v>56</v>
      </c>
      <c r="J153" s="3" t="s">
        <v>18</v>
      </c>
      <c r="K153" s="3">
        <v>10</v>
      </c>
      <c r="L153" s="3">
        <f t="shared" si="4"/>
        <v>12</v>
      </c>
      <c r="M153" s="3">
        <v>9</v>
      </c>
      <c r="N153" s="3">
        <f t="shared" si="5"/>
        <v>3</v>
      </c>
      <c r="O153" s="3" t="s">
        <v>19</v>
      </c>
      <c r="P153" s="13" t="s">
        <v>383</v>
      </c>
      <c r="Q153" s="9">
        <v>79177.919999999998</v>
      </c>
      <c r="R153" s="5" t="s">
        <v>379</v>
      </c>
      <c r="S153" s="6">
        <v>5</v>
      </c>
    </row>
    <row r="154" spans="1:19" x14ac:dyDescent="0.25">
      <c r="A154" s="3">
        <v>19107528</v>
      </c>
      <c r="B154" s="3" t="s">
        <v>384</v>
      </c>
      <c r="C154" s="3" t="s">
        <v>38</v>
      </c>
      <c r="D154" s="3">
        <v>4450</v>
      </c>
      <c r="E154" s="3" t="s">
        <v>189</v>
      </c>
      <c r="F154" s="3" t="s">
        <v>189</v>
      </c>
      <c r="G154" s="4">
        <v>43676</v>
      </c>
      <c r="H154" s="4">
        <v>45503</v>
      </c>
      <c r="I154" s="3" t="s">
        <v>107</v>
      </c>
      <c r="J154" s="3" t="s">
        <v>18</v>
      </c>
      <c r="K154" s="3">
        <v>10</v>
      </c>
      <c r="L154" s="3">
        <f t="shared" si="4"/>
        <v>12</v>
      </c>
      <c r="M154" s="3">
        <v>15</v>
      </c>
      <c r="N154" s="3">
        <f t="shared" si="5"/>
        <v>-3</v>
      </c>
      <c r="O154" s="3" t="s">
        <v>19</v>
      </c>
      <c r="P154" s="13" t="s">
        <v>385</v>
      </c>
      <c r="Q154" s="9">
        <v>180673.34</v>
      </c>
      <c r="R154" s="5" t="s">
        <v>379</v>
      </c>
      <c r="S154" s="6">
        <v>5</v>
      </c>
    </row>
    <row r="155" spans="1:19" x14ac:dyDescent="0.25">
      <c r="A155" s="3">
        <v>18106420</v>
      </c>
      <c r="B155" s="3" t="s">
        <v>386</v>
      </c>
      <c r="C155" s="3" t="s">
        <v>15</v>
      </c>
      <c r="D155" s="3">
        <v>2415</v>
      </c>
      <c r="E155" s="3" t="s">
        <v>66</v>
      </c>
      <c r="F155" s="3" t="s">
        <v>420</v>
      </c>
      <c r="G155" s="4">
        <v>43200</v>
      </c>
      <c r="H155" s="4">
        <v>46178</v>
      </c>
      <c r="I155" s="3" t="s">
        <v>155</v>
      </c>
      <c r="J155" s="3" t="s">
        <v>18</v>
      </c>
      <c r="K155" s="3">
        <v>10</v>
      </c>
      <c r="L155" s="3">
        <f t="shared" si="4"/>
        <v>12</v>
      </c>
      <c r="M155" s="3">
        <v>17</v>
      </c>
      <c r="N155" s="3">
        <f t="shared" si="5"/>
        <v>-5</v>
      </c>
      <c r="O155" s="3" t="s">
        <v>19</v>
      </c>
      <c r="P155" s="13" t="s">
        <v>387</v>
      </c>
      <c r="Q155" s="9">
        <v>100832.52</v>
      </c>
      <c r="R155" s="5" t="s">
        <v>379</v>
      </c>
      <c r="S155" s="6">
        <v>5</v>
      </c>
    </row>
    <row r="156" spans="1:19" x14ac:dyDescent="0.25">
      <c r="A156" s="3">
        <v>21104122</v>
      </c>
      <c r="B156" s="3" t="s">
        <v>388</v>
      </c>
      <c r="C156" s="3" t="s">
        <v>15</v>
      </c>
      <c r="D156" s="3">
        <v>4451</v>
      </c>
      <c r="E156" s="3" t="s">
        <v>220</v>
      </c>
      <c r="F156" s="3" t="s">
        <v>220</v>
      </c>
      <c r="G156" s="4">
        <v>44246</v>
      </c>
      <c r="H156" s="4">
        <v>46072</v>
      </c>
      <c r="I156" s="3" t="s">
        <v>17</v>
      </c>
      <c r="J156" s="3" t="s">
        <v>18</v>
      </c>
      <c r="K156" s="3">
        <v>10</v>
      </c>
      <c r="L156" s="3">
        <f t="shared" si="4"/>
        <v>12</v>
      </c>
      <c r="M156" s="3">
        <v>11</v>
      </c>
      <c r="N156" s="3">
        <f t="shared" si="5"/>
        <v>1</v>
      </c>
      <c r="O156" s="3" t="s">
        <v>19</v>
      </c>
      <c r="P156" s="13" t="s">
        <v>389</v>
      </c>
      <c r="Q156" s="9">
        <v>90119.37</v>
      </c>
      <c r="R156" s="5" t="s">
        <v>379</v>
      </c>
      <c r="S156" s="6">
        <v>5</v>
      </c>
    </row>
    <row r="157" spans="1:19" x14ac:dyDescent="0.25">
      <c r="A157" s="3">
        <v>21180513</v>
      </c>
      <c r="B157" s="3" t="s">
        <v>390</v>
      </c>
      <c r="C157" s="3" t="s">
        <v>15</v>
      </c>
      <c r="D157" s="3">
        <v>3205</v>
      </c>
      <c r="E157" s="3" t="s">
        <v>223</v>
      </c>
      <c r="F157" s="3" t="s">
        <v>223</v>
      </c>
      <c r="G157" s="4">
        <v>44244</v>
      </c>
      <c r="H157" s="4">
        <v>46070</v>
      </c>
      <c r="I157" s="3" t="s">
        <v>17</v>
      </c>
      <c r="J157" s="3" t="s">
        <v>18</v>
      </c>
      <c r="K157" s="3">
        <v>10</v>
      </c>
      <c r="L157" s="3">
        <f t="shared" si="4"/>
        <v>12</v>
      </c>
      <c r="M157" s="3">
        <v>11</v>
      </c>
      <c r="N157" s="3">
        <f t="shared" si="5"/>
        <v>1</v>
      </c>
      <c r="O157" s="3" t="s">
        <v>19</v>
      </c>
      <c r="P157" s="13" t="s">
        <v>391</v>
      </c>
      <c r="Q157" s="9">
        <v>72186.53</v>
      </c>
      <c r="R157" s="5" t="s">
        <v>379</v>
      </c>
      <c r="S157" s="6">
        <v>5</v>
      </c>
    </row>
    <row r="158" spans="1:19" x14ac:dyDescent="0.25">
      <c r="A158" s="3">
        <v>17103384</v>
      </c>
      <c r="B158" s="3" t="s">
        <v>392</v>
      </c>
      <c r="C158" s="3" t="s">
        <v>38</v>
      </c>
      <c r="D158" s="3">
        <v>4465</v>
      </c>
      <c r="E158" s="3" t="s">
        <v>122</v>
      </c>
      <c r="F158" s="3" t="s">
        <v>424</v>
      </c>
      <c r="G158" s="4">
        <v>44071</v>
      </c>
      <c r="H158" s="4">
        <v>45996</v>
      </c>
      <c r="I158" s="3" t="s">
        <v>53</v>
      </c>
      <c r="J158" s="3" t="s">
        <v>18</v>
      </c>
      <c r="K158" s="3">
        <v>10</v>
      </c>
      <c r="L158" s="3">
        <f t="shared" si="4"/>
        <v>12</v>
      </c>
      <c r="M158" s="3">
        <v>12</v>
      </c>
      <c r="N158" s="3">
        <f t="shared" si="5"/>
        <v>0</v>
      </c>
      <c r="O158" s="3" t="s">
        <v>19</v>
      </c>
      <c r="P158" s="13" t="s">
        <v>393</v>
      </c>
      <c r="Q158" s="9">
        <v>128830.92</v>
      </c>
      <c r="R158" s="5" t="s">
        <v>394</v>
      </c>
      <c r="S158" s="6">
        <v>7</v>
      </c>
    </row>
    <row r="159" spans="1:19" x14ac:dyDescent="0.25">
      <c r="A159" s="3">
        <v>20180183</v>
      </c>
      <c r="B159" s="3" t="s">
        <v>395</v>
      </c>
      <c r="C159" s="3" t="s">
        <v>38</v>
      </c>
      <c r="D159" s="3">
        <v>3205</v>
      </c>
      <c r="E159" s="3" t="s">
        <v>223</v>
      </c>
      <c r="F159" s="3" t="s">
        <v>223</v>
      </c>
      <c r="G159" s="4">
        <v>44063</v>
      </c>
      <c r="H159" s="4">
        <v>45996</v>
      </c>
      <c r="I159" s="3" t="s">
        <v>53</v>
      </c>
      <c r="J159" s="3" t="s">
        <v>18</v>
      </c>
      <c r="K159" s="3">
        <v>10</v>
      </c>
      <c r="L159" s="3">
        <f t="shared" si="4"/>
        <v>12</v>
      </c>
      <c r="M159" s="3">
        <v>12</v>
      </c>
      <c r="N159" s="3">
        <f t="shared" si="5"/>
        <v>0</v>
      </c>
      <c r="O159" s="3" t="s">
        <v>19</v>
      </c>
      <c r="P159" s="13" t="s">
        <v>396</v>
      </c>
      <c r="Q159" s="9">
        <v>147602.15</v>
      </c>
      <c r="R159" s="5" t="s">
        <v>397</v>
      </c>
      <c r="S159" s="6">
        <v>8</v>
      </c>
    </row>
    <row r="160" spans="1:19" x14ac:dyDescent="0.25">
      <c r="A160" s="3">
        <v>21100992</v>
      </c>
      <c r="B160" s="3" t="s">
        <v>398</v>
      </c>
      <c r="C160" s="3" t="s">
        <v>38</v>
      </c>
      <c r="D160" s="3">
        <v>9201</v>
      </c>
      <c r="E160" s="3" t="s">
        <v>146</v>
      </c>
      <c r="F160" s="3" t="s">
        <v>420</v>
      </c>
      <c r="G160" s="4">
        <v>44258</v>
      </c>
      <c r="H160" s="4">
        <v>46084</v>
      </c>
      <c r="I160" s="3" t="s">
        <v>17</v>
      </c>
      <c r="J160" s="3" t="s">
        <v>18</v>
      </c>
      <c r="K160" s="3">
        <v>10</v>
      </c>
      <c r="L160" s="3">
        <f t="shared" si="4"/>
        <v>12</v>
      </c>
      <c r="M160" s="3">
        <v>11</v>
      </c>
      <c r="N160" s="3">
        <f t="shared" si="5"/>
        <v>1</v>
      </c>
      <c r="O160" s="3" t="s">
        <v>19</v>
      </c>
      <c r="P160" s="13" t="s">
        <v>399</v>
      </c>
      <c r="Q160" s="9">
        <v>143671.99</v>
      </c>
      <c r="R160" s="5" t="s">
        <v>397</v>
      </c>
      <c r="S160" s="6">
        <v>8</v>
      </c>
    </row>
    <row r="161" spans="1:19" x14ac:dyDescent="0.25">
      <c r="A161" s="3">
        <v>22103933</v>
      </c>
      <c r="B161" s="3" t="s">
        <v>400</v>
      </c>
      <c r="C161" s="3" t="s">
        <v>15</v>
      </c>
      <c r="D161" s="3">
        <v>9617</v>
      </c>
      <c r="E161" s="3" t="s">
        <v>201</v>
      </c>
      <c r="F161" s="3" t="s">
        <v>201</v>
      </c>
      <c r="G161" s="4">
        <v>44608</v>
      </c>
      <c r="H161" s="4">
        <v>46023</v>
      </c>
      <c r="I161" s="3" t="s">
        <v>56</v>
      </c>
      <c r="J161" s="3" t="s">
        <v>18</v>
      </c>
      <c r="K161" s="3">
        <v>8</v>
      </c>
      <c r="L161" s="3">
        <f t="shared" si="4"/>
        <v>10</v>
      </c>
      <c r="M161" s="3">
        <v>9</v>
      </c>
      <c r="N161" s="3">
        <f t="shared" si="5"/>
        <v>1</v>
      </c>
      <c r="O161" s="3" t="s">
        <v>19</v>
      </c>
      <c r="P161" s="13">
        <v>0.27</v>
      </c>
      <c r="Q161" s="9">
        <v>89339.21</v>
      </c>
      <c r="R161" s="5" t="s">
        <v>397</v>
      </c>
      <c r="S161" s="6">
        <v>8</v>
      </c>
    </row>
    <row r="162" spans="1:19" x14ac:dyDescent="0.25">
      <c r="A162" s="3">
        <v>21181228</v>
      </c>
      <c r="B162" s="3" t="s">
        <v>401</v>
      </c>
      <c r="C162" s="3" t="s">
        <v>15</v>
      </c>
      <c r="D162" s="3">
        <v>4464</v>
      </c>
      <c r="E162" s="3" t="s">
        <v>402</v>
      </c>
      <c r="F162" s="3" t="s">
        <v>423</v>
      </c>
      <c r="G162" s="4">
        <v>44306</v>
      </c>
      <c r="H162" s="4">
        <v>46132</v>
      </c>
      <c r="I162" s="3" t="s">
        <v>17</v>
      </c>
      <c r="J162" s="3" t="s">
        <v>18</v>
      </c>
      <c r="K162" s="3">
        <v>10</v>
      </c>
      <c r="L162" s="3">
        <f t="shared" si="4"/>
        <v>12</v>
      </c>
      <c r="M162" s="3">
        <v>11</v>
      </c>
      <c r="N162" s="3">
        <f t="shared" si="5"/>
        <v>1</v>
      </c>
      <c r="O162" s="3" t="s">
        <v>19</v>
      </c>
      <c r="P162" s="13" t="s">
        <v>403</v>
      </c>
      <c r="Q162" s="9">
        <v>88016.52</v>
      </c>
      <c r="R162" s="5" t="s">
        <v>397</v>
      </c>
      <c r="S162" s="6">
        <v>8</v>
      </c>
    </row>
    <row r="163" spans="1:19" x14ac:dyDescent="0.25">
      <c r="A163" s="3">
        <v>22110022</v>
      </c>
      <c r="B163" s="3" t="s">
        <v>404</v>
      </c>
      <c r="C163" s="3" t="s">
        <v>15</v>
      </c>
      <c r="D163" s="3" t="s">
        <v>184</v>
      </c>
      <c r="E163" s="3" t="s">
        <v>185</v>
      </c>
      <c r="F163" s="3" t="s">
        <v>185</v>
      </c>
      <c r="G163" s="4">
        <v>44726</v>
      </c>
      <c r="H163" s="4">
        <v>46023</v>
      </c>
      <c r="I163" s="3" t="s">
        <v>29</v>
      </c>
      <c r="J163" s="3" t="s">
        <v>18</v>
      </c>
      <c r="K163" s="3">
        <v>8</v>
      </c>
      <c r="L163" s="3">
        <f t="shared" si="4"/>
        <v>10</v>
      </c>
      <c r="M163" s="3">
        <v>8</v>
      </c>
      <c r="N163" s="3">
        <f t="shared" si="5"/>
        <v>2</v>
      </c>
      <c r="O163" s="3" t="s">
        <v>19</v>
      </c>
      <c r="P163" s="13" t="s">
        <v>405</v>
      </c>
      <c r="Q163" s="9">
        <v>65494.17</v>
      </c>
      <c r="R163" s="5" t="s">
        <v>406</v>
      </c>
      <c r="S163" s="6">
        <v>9</v>
      </c>
    </row>
  </sheetData>
  <autoFilter ref="A1:S163" xr:uid="{9DE2BF95-A570-473E-A409-C65BEDFFD947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Percentual abaixo de 85%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Cassio Natan Santana Rodrigues</dc:creator>
  <cp:lastModifiedBy>Marcelo Da Silva Balinha</cp:lastModifiedBy>
  <dcterms:created xsi:type="dcterms:W3CDTF">2026-05-14T22:35:11Z</dcterms:created>
  <dcterms:modified xsi:type="dcterms:W3CDTF">2026-05-15T17:48:29Z</dcterms:modified>
</cp:coreProperties>
</file>